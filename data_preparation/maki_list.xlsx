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pbox\OtherLayers\POI\"/>
    </mc:Choice>
  </mc:AlternateContent>
  <xr:revisionPtr revIDLastSave="0" documentId="13_ncr:1_{522513B8-32E6-4BA4-9463-7C03D2662821}" xr6:coauthVersionLast="47" xr6:coauthVersionMax="47" xr10:uidLastSave="{00000000-0000-0000-0000-000000000000}"/>
  <bookViews>
    <workbookView xWindow="-108" yWindow="-108" windowWidth="23256" windowHeight="13896" activeTab="4" xr2:uid="{4B05EFA5-0696-4054-8645-D7784ED35019}"/>
  </bookViews>
  <sheets>
    <sheet name="Sheet1" sheetId="1" r:id="rId1"/>
    <sheet name="Sheet3" sheetId="3" r:id="rId2"/>
    <sheet name="maki" sheetId="2" r:id="rId3"/>
    <sheet name="osm" sheetId="4" r:id="rId4"/>
    <sheet name="source" sheetId="5" r:id="rId5"/>
  </sheets>
  <definedNames>
    <definedName name="_xlnm._FilterDatabase" localSheetId="2" hidden="1">maki!$A$1:$D$198</definedName>
    <definedName name="_xlnm._FilterDatabase" localSheetId="0" hidden="1">Sheet1!$G$1:$H$198</definedName>
    <definedName name="_xlnm._FilterDatabase" localSheetId="1" hidden="1">Sheet3!$A$1:$B$116</definedName>
    <definedName name="_xlnm._FilterDatabase" localSheetId="4" hidden="1">source!#REF!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C5" i="4" s="1"/>
  <c r="D6" i="2"/>
  <c r="D7" i="2"/>
  <c r="C7" i="4" s="1"/>
  <c r="D8" i="2"/>
  <c r="C8" i="4" s="1"/>
  <c r="D9" i="2"/>
  <c r="C104" i="4" s="1"/>
  <c r="D10" i="2"/>
  <c r="D11" i="2"/>
  <c r="D12" i="2"/>
  <c r="D13" i="2"/>
  <c r="D14" i="2"/>
  <c r="D15" i="2"/>
  <c r="D16" i="2"/>
  <c r="C33" i="4" s="1"/>
  <c r="D17" i="2"/>
  <c r="D18" i="2"/>
  <c r="C19" i="4" s="1"/>
  <c r="D19" i="2"/>
  <c r="D20" i="2"/>
  <c r="D21" i="2"/>
  <c r="D22" i="2"/>
  <c r="C146" i="4" s="1"/>
  <c r="D23" i="2"/>
  <c r="C62" i="4" s="1"/>
  <c r="D24" i="2"/>
  <c r="D25" i="2"/>
  <c r="D26" i="2"/>
  <c r="D27" i="2"/>
  <c r="D28" i="2"/>
  <c r="D29" i="2"/>
  <c r="C30" i="4" s="1"/>
  <c r="D30" i="2"/>
  <c r="D31" i="2"/>
  <c r="D32" i="2"/>
  <c r="D33" i="2"/>
  <c r="D34" i="2"/>
  <c r="D35" i="2"/>
  <c r="D36" i="2"/>
  <c r="D37" i="2"/>
  <c r="D38" i="2"/>
  <c r="D39" i="2"/>
  <c r="D40" i="2"/>
  <c r="D41" i="2"/>
  <c r="C41" i="4" s="1"/>
  <c r="D42" i="2"/>
  <c r="C42" i="4" s="1"/>
  <c r="D43" i="2"/>
  <c r="D44" i="2"/>
  <c r="D45" i="2"/>
  <c r="D46" i="2"/>
  <c r="D47" i="2"/>
  <c r="D48" i="2"/>
  <c r="C48" i="4" s="1"/>
  <c r="D49" i="2"/>
  <c r="D50" i="2"/>
  <c r="C50" i="4" s="1"/>
  <c r="D51" i="2"/>
  <c r="C51" i="4" s="1"/>
  <c r="D52" i="2"/>
  <c r="D53" i="2"/>
  <c r="D54" i="2"/>
  <c r="C91" i="4" s="1"/>
  <c r="D55" i="2"/>
  <c r="D56" i="2"/>
  <c r="C56" i="4" s="1"/>
  <c r="D57" i="2"/>
  <c r="D58" i="2"/>
  <c r="C58" i="4" s="1"/>
  <c r="D59" i="2"/>
  <c r="D60" i="2"/>
  <c r="C60" i="4" s="1"/>
  <c r="D61" i="2"/>
  <c r="C61" i="4" s="1"/>
  <c r="D62" i="2"/>
  <c r="D63" i="2"/>
  <c r="D64" i="2"/>
  <c r="C64" i="4" s="1"/>
  <c r="D65" i="2"/>
  <c r="D66" i="2"/>
  <c r="D67" i="2"/>
  <c r="D68" i="2"/>
  <c r="C136" i="4" s="1"/>
  <c r="D69" i="2"/>
  <c r="D70" i="2"/>
  <c r="D71" i="2"/>
  <c r="D72" i="2"/>
  <c r="D73" i="2"/>
  <c r="C73" i="4" s="1"/>
  <c r="D74" i="2"/>
  <c r="D75" i="2"/>
  <c r="C75" i="4" s="1"/>
  <c r="D76" i="2"/>
  <c r="C76" i="4" s="1"/>
  <c r="D77" i="2"/>
  <c r="D78" i="2"/>
  <c r="C78" i="4" s="1"/>
  <c r="D79" i="2"/>
  <c r="C79" i="4" s="1"/>
  <c r="D80" i="2"/>
  <c r="D81" i="2"/>
  <c r="C93" i="4" s="1"/>
  <c r="D82" i="2"/>
  <c r="C82" i="4" s="1"/>
  <c r="D83" i="2"/>
  <c r="D84" i="2"/>
  <c r="D85" i="2"/>
  <c r="D86" i="2"/>
  <c r="D87" i="2"/>
  <c r="D88" i="2"/>
  <c r="D89" i="2"/>
  <c r="C89" i="4" s="1"/>
  <c r="D90" i="2"/>
  <c r="D91" i="2"/>
  <c r="D92" i="2"/>
  <c r="D93" i="2"/>
  <c r="D94" i="2"/>
  <c r="D95" i="2"/>
  <c r="D96" i="2"/>
  <c r="C96" i="4" s="1"/>
  <c r="D97" i="2"/>
  <c r="D98" i="2"/>
  <c r="C98" i="4" s="1"/>
  <c r="D99" i="2"/>
  <c r="D100" i="2"/>
  <c r="D101" i="2"/>
  <c r="D102" i="2"/>
  <c r="D103" i="2"/>
  <c r="C103" i="4" s="1"/>
  <c r="D104" i="2"/>
  <c r="D105" i="2"/>
  <c r="C105" i="4" s="1"/>
  <c r="D106" i="2"/>
  <c r="D107" i="2"/>
  <c r="D108" i="2"/>
  <c r="D109" i="2"/>
  <c r="D110" i="2"/>
  <c r="D111" i="2"/>
  <c r="D112" i="2"/>
  <c r="D113" i="2"/>
  <c r="D114" i="2"/>
  <c r="C114" i="4" s="1"/>
  <c r="D115" i="2"/>
  <c r="C115" i="4" s="1"/>
  <c r="D116" i="2"/>
  <c r="D117" i="2"/>
  <c r="D118" i="2"/>
  <c r="D119" i="2"/>
  <c r="D120" i="2"/>
  <c r="D121" i="2"/>
  <c r="D122" i="2"/>
  <c r="D123" i="2"/>
  <c r="D124" i="2"/>
  <c r="C124" i="4" s="1"/>
  <c r="D125" i="2"/>
  <c r="D126" i="2"/>
  <c r="D127" i="2"/>
  <c r="D128" i="2"/>
  <c r="C128" i="4" s="1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C145" i="4" s="1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C167" i="4" s="1"/>
  <c r="D167" i="2"/>
  <c r="D168" i="2"/>
  <c r="D169" i="2"/>
  <c r="D170" i="2"/>
  <c r="D171" i="2"/>
  <c r="D172" i="2"/>
  <c r="D173" i="2"/>
  <c r="C173" i="4" s="1"/>
  <c r="D174" i="2"/>
  <c r="D175" i="2"/>
  <c r="D176" i="2"/>
  <c r="D177" i="2"/>
  <c r="D178" i="2"/>
  <c r="D179" i="2"/>
  <c r="D180" i="2"/>
  <c r="D181" i="2"/>
  <c r="D182" i="2"/>
  <c r="C182" i="4" s="1"/>
  <c r="D183" i="2"/>
  <c r="D184" i="2"/>
  <c r="D185" i="2"/>
  <c r="D186" i="2"/>
  <c r="D187" i="2"/>
  <c r="D188" i="2"/>
  <c r="C188" i="4" s="1"/>
  <c r="D189" i="2"/>
  <c r="C189" i="4" s="1"/>
  <c r="D190" i="2"/>
  <c r="D191" i="2"/>
  <c r="D192" i="2"/>
  <c r="D193" i="2"/>
  <c r="D194" i="2"/>
  <c r="D195" i="2"/>
  <c r="D196" i="2"/>
  <c r="D197" i="2"/>
  <c r="D198" i="2"/>
  <c r="C198" i="4" s="1"/>
  <c r="D2" i="2"/>
  <c r="C159" i="4" s="1"/>
  <c r="B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2" i="1"/>
  <c r="C80" i="4" l="1"/>
  <c r="C47" i="4"/>
  <c r="C148" i="4"/>
  <c r="C34" i="4"/>
  <c r="C131" i="4"/>
  <c r="C139" i="4"/>
  <c r="C84" i="4"/>
  <c r="C74" i="4"/>
  <c r="C172" i="4"/>
  <c r="C169" i="4"/>
  <c r="C86" i="4"/>
  <c r="C72" i="4"/>
  <c r="C194" i="4"/>
  <c r="C174" i="4"/>
  <c r="C166" i="4"/>
  <c r="C149" i="4"/>
  <c r="C147" i="4"/>
  <c r="C144" i="4"/>
  <c r="C143" i="4"/>
  <c r="C141" i="4"/>
  <c r="C87" i="4"/>
  <c r="C191" i="4"/>
  <c r="C168" i="4"/>
  <c r="C140" i="4"/>
  <c r="C138" i="4"/>
  <c r="C46" i="4"/>
  <c r="C190" i="4"/>
  <c r="C187" i="4"/>
  <c r="C162" i="4"/>
  <c r="C135" i="4"/>
  <c r="C32" i="4"/>
  <c r="C171" i="4"/>
  <c r="C186" i="4"/>
  <c r="C161" i="4"/>
  <c r="C134" i="4"/>
  <c r="C18" i="4"/>
  <c r="C185" i="4"/>
  <c r="C158" i="4"/>
  <c r="C133" i="4"/>
  <c r="C17" i="4"/>
  <c r="C184" i="4"/>
  <c r="C157" i="4"/>
  <c r="C132" i="4"/>
  <c r="C4" i="4"/>
  <c r="C180" i="4"/>
  <c r="C156" i="4"/>
  <c r="C130" i="4"/>
  <c r="C170" i="4"/>
  <c r="C177" i="4"/>
  <c r="C155" i="4"/>
  <c r="C129" i="4"/>
  <c r="C175" i="4"/>
  <c r="C152" i="4"/>
  <c r="C100" i="4"/>
  <c r="C127" i="4"/>
  <c r="C113" i="4"/>
  <c r="C99" i="4"/>
  <c r="C85" i="4"/>
  <c r="C71" i="4"/>
  <c r="C57" i="4"/>
  <c r="C43" i="4"/>
  <c r="C29" i="4"/>
  <c r="C15" i="4"/>
  <c r="C126" i="4"/>
  <c r="C112" i="4"/>
  <c r="C70" i="4"/>
  <c r="C28" i="4"/>
  <c r="C14" i="4"/>
  <c r="C197" i="4"/>
  <c r="C183" i="4"/>
  <c r="C196" i="4"/>
  <c r="C154" i="4"/>
  <c r="C195" i="4"/>
  <c r="C181" i="4"/>
  <c r="C153" i="4"/>
  <c r="C125" i="4"/>
  <c r="C111" i="4"/>
  <c r="C97" i="4"/>
  <c r="C83" i="4"/>
  <c r="C69" i="4"/>
  <c r="C55" i="4"/>
  <c r="C27" i="4"/>
  <c r="C13" i="4"/>
  <c r="C110" i="4"/>
  <c r="C68" i="4"/>
  <c r="C54" i="4"/>
  <c r="C40" i="4"/>
  <c r="C26" i="4"/>
  <c r="C12" i="4"/>
  <c r="C193" i="4"/>
  <c r="C179" i="4"/>
  <c r="C165" i="4"/>
  <c r="C151" i="4"/>
  <c r="C137" i="4"/>
  <c r="C123" i="4"/>
  <c r="C109" i="4"/>
  <c r="C95" i="4"/>
  <c r="C81" i="4"/>
  <c r="C67" i="4"/>
  <c r="C53" i="4"/>
  <c r="C39" i="4"/>
  <c r="C25" i="4"/>
  <c r="C11" i="4"/>
  <c r="C192" i="4"/>
  <c r="C178" i="4"/>
  <c r="C164" i="4"/>
  <c r="C150" i="4"/>
  <c r="C122" i="4"/>
  <c r="C108" i="4"/>
  <c r="C94" i="4"/>
  <c r="C66" i="4"/>
  <c r="C52" i="4"/>
  <c r="C38" i="4"/>
  <c r="C24" i="4"/>
  <c r="C10" i="4"/>
  <c r="C121" i="4"/>
  <c r="C107" i="4"/>
  <c r="C65" i="4"/>
  <c r="C37" i="4"/>
  <c r="C23" i="4"/>
  <c r="C9" i="4"/>
  <c r="C120" i="4"/>
  <c r="C106" i="4"/>
  <c r="C92" i="4"/>
  <c r="C36" i="4"/>
  <c r="C22" i="4"/>
  <c r="C119" i="4"/>
  <c r="C77" i="4"/>
  <c r="C63" i="4"/>
  <c r="C49" i="4"/>
  <c r="C35" i="4"/>
  <c r="C21" i="4"/>
  <c r="C118" i="4"/>
  <c r="C90" i="4"/>
  <c r="C20" i="4"/>
  <c r="C6" i="4"/>
  <c r="C116" i="4"/>
  <c r="C102" i="4"/>
  <c r="C88" i="4"/>
  <c r="C2" i="4"/>
  <c r="C101" i="4"/>
  <c r="C59" i="4"/>
  <c r="C45" i="4"/>
  <c r="C31" i="4"/>
  <c r="C3" i="4"/>
  <c r="C142" i="4"/>
  <c r="C44" i="4"/>
  <c r="C16" i="4"/>
  <c r="C163" i="4"/>
  <c r="C176" i="4"/>
  <c r="C160" i="4"/>
  <c r="C117" i="4"/>
</calcChain>
</file>

<file path=xl/sharedStrings.xml><?xml version="1.0" encoding="utf-8"?>
<sst xmlns="http://schemas.openxmlformats.org/spreadsheetml/2006/main" count="2335" uniqueCount="482">
  <si>
    <t>acai shop</t>
  </si>
  <si>
    <t>accounting</t>
  </si>
  <si>
    <t>adventure sports center</t>
  </si>
  <si>
    <t>african restaurant</t>
  </si>
  <si>
    <t>airport</t>
  </si>
  <si>
    <t>amusement park</t>
  </si>
  <si>
    <t>apartment building</t>
  </si>
  <si>
    <t>apartment complex</t>
  </si>
  <si>
    <t>art gallery</t>
  </si>
  <si>
    <t>art studio</t>
  </si>
  <si>
    <t>asian restaurant</t>
  </si>
  <si>
    <t>atm</t>
  </si>
  <si>
    <t>auditorium</t>
  </si>
  <si>
    <t>auto parts store</t>
  </si>
  <si>
    <t>bakery</t>
  </si>
  <si>
    <t>bank</t>
  </si>
  <si>
    <t>bar</t>
  </si>
  <si>
    <t>bar and grill</t>
  </si>
  <si>
    <t>barber shop</t>
  </si>
  <si>
    <t>beauty salon</t>
  </si>
  <si>
    <t>bed and breakfast</t>
  </si>
  <si>
    <t>bicycle store</t>
  </si>
  <si>
    <t>body art service</t>
  </si>
  <si>
    <t>book store</t>
  </si>
  <si>
    <t>botanical garden</t>
  </si>
  <si>
    <t>buffet restaurant</t>
  </si>
  <si>
    <t>building</t>
  </si>
  <si>
    <t>bus station</t>
  </si>
  <si>
    <t>bus stop</t>
  </si>
  <si>
    <t>butcher shop</t>
  </si>
  <si>
    <t>cafeteria</t>
  </si>
  <si>
    <t>candy store</t>
  </si>
  <si>
    <t>car dealer</t>
  </si>
  <si>
    <t>car rental</t>
  </si>
  <si>
    <t>car repair</t>
  </si>
  <si>
    <t>car wash</t>
  </si>
  <si>
    <t>catering service</t>
  </si>
  <si>
    <t>cell phone store</t>
  </si>
  <si>
    <t>cemetery</t>
  </si>
  <si>
    <t>child care agency</t>
  </si>
  <si>
    <t>childrens camp</t>
  </si>
  <si>
    <t>chinese restaurant</t>
  </si>
  <si>
    <t>chocolate factory</t>
  </si>
  <si>
    <t>chocolate shop</t>
  </si>
  <si>
    <t>church</t>
  </si>
  <si>
    <t>city hall</t>
  </si>
  <si>
    <t>clothing store</t>
  </si>
  <si>
    <t>coffee shop</t>
  </si>
  <si>
    <t>community center</t>
  </si>
  <si>
    <t>concert hall</t>
  </si>
  <si>
    <t>condominium complex</t>
  </si>
  <si>
    <t>confectionery</t>
  </si>
  <si>
    <t>convenience store</t>
  </si>
  <si>
    <t>convention center</t>
  </si>
  <si>
    <t>corporate office</t>
  </si>
  <si>
    <t>cottage</t>
  </si>
  <si>
    <t>courier service</t>
  </si>
  <si>
    <t>courthouse</t>
  </si>
  <si>
    <t>cultural center</t>
  </si>
  <si>
    <t>cultural landmark</t>
  </si>
  <si>
    <t>cycling park</t>
  </si>
  <si>
    <t>deli</t>
  </si>
  <si>
    <t>dental clinic</t>
  </si>
  <si>
    <t>department store</t>
  </si>
  <si>
    <t>dessert shop</t>
  </si>
  <si>
    <t>donut shop</t>
  </si>
  <si>
    <t>drugstore</t>
  </si>
  <si>
    <t>electric vehicle charging station</t>
  </si>
  <si>
    <t>electronics store</t>
  </si>
  <si>
    <t>embassy</t>
  </si>
  <si>
    <t>event venue</t>
  </si>
  <si>
    <t>farm</t>
  </si>
  <si>
    <t>farmstay</t>
  </si>
  <si>
    <t>fast food restaurant</t>
  </si>
  <si>
    <t>ferry terminal</t>
  </si>
  <si>
    <t>fine dining restaurant</t>
  </si>
  <si>
    <t>fire station</t>
  </si>
  <si>
    <t>fishing charter</t>
  </si>
  <si>
    <t>fishing pond</t>
  </si>
  <si>
    <t>fitness center</t>
  </si>
  <si>
    <t>food court</t>
  </si>
  <si>
    <t>food delivery</t>
  </si>
  <si>
    <t>food store</t>
  </si>
  <si>
    <t>furniture store</t>
  </si>
  <si>
    <t>garden</t>
  </si>
  <si>
    <t>gas station</t>
  </si>
  <si>
    <t>gift shop</t>
  </si>
  <si>
    <t>golf course</t>
  </si>
  <si>
    <t>government office</t>
  </si>
  <si>
    <t>grocery store</t>
  </si>
  <si>
    <t>guest house hostel</t>
  </si>
  <si>
    <t>gym</t>
  </si>
  <si>
    <t>hair salon</t>
  </si>
  <si>
    <t>hardware store</t>
  </si>
  <si>
    <t>heliport</t>
  </si>
  <si>
    <t>hiking area</t>
  </si>
  <si>
    <t>hindu temple</t>
  </si>
  <si>
    <t>historical landmark</t>
  </si>
  <si>
    <t>historical place</t>
  </si>
  <si>
    <t>home goods store</t>
  </si>
  <si>
    <t>home improvement store</t>
  </si>
  <si>
    <t>hospital</t>
  </si>
  <si>
    <t>housing complex</t>
  </si>
  <si>
    <t>ice cream shop</t>
  </si>
  <si>
    <t>ice skating rink</t>
  </si>
  <si>
    <t>indian restaurant</t>
  </si>
  <si>
    <t>inn</t>
  </si>
  <si>
    <t>insurance agency laundry</t>
  </si>
  <si>
    <t>international airport</t>
  </si>
  <si>
    <t>internet cafe</t>
  </si>
  <si>
    <t>jewelry store</t>
  </si>
  <si>
    <t>juice shop</t>
  </si>
  <si>
    <t>library</t>
  </si>
  <si>
    <t>light rail station</t>
  </si>
  <si>
    <t>liquor store</t>
  </si>
  <si>
    <t>local government office</t>
  </si>
  <si>
    <t>lodging</t>
  </si>
  <si>
    <t>market</t>
  </si>
  <si>
    <t>meal delivery</t>
  </si>
  <si>
    <t>meal takeaway</t>
  </si>
  <si>
    <t>medical lab</t>
  </si>
  <si>
    <t>monument</t>
  </si>
  <si>
    <t>mosque</t>
  </si>
  <si>
    <t>motel</t>
  </si>
  <si>
    <t>movie theater</t>
  </si>
  <si>
    <t>moving company</t>
  </si>
  <si>
    <t>museum</t>
  </si>
  <si>
    <t>national park</t>
  </si>
  <si>
    <t>night club</t>
  </si>
  <si>
    <t>park</t>
  </si>
  <si>
    <t>park and ride</t>
  </si>
  <si>
    <t>parking</t>
  </si>
  <si>
    <t>performing arts theater</t>
  </si>
  <si>
    <t>pet store</t>
  </si>
  <si>
    <t>pharmacy</t>
  </si>
  <si>
    <t>picnic ground</t>
  </si>
  <si>
    <t>pizza restaurant</t>
  </si>
  <si>
    <t>playground</t>
  </si>
  <si>
    <t>plaza</t>
  </si>
  <si>
    <t>police</t>
  </si>
  <si>
    <t>post office</t>
  </si>
  <si>
    <t>preschool</t>
  </si>
  <si>
    <t>primary school</t>
  </si>
  <si>
    <t>prison</t>
  </si>
  <si>
    <t>private guest room</t>
  </si>
  <si>
    <t>pub</t>
  </si>
  <si>
    <t>public bath</t>
  </si>
  <si>
    <t>public bathroom</t>
  </si>
  <si>
    <t>real estate agency</t>
  </si>
  <si>
    <t>resort hotel</t>
  </si>
  <si>
    <t>rest stop</t>
  </si>
  <si>
    <t>roller coaster</t>
  </si>
  <si>
    <t>sandwich shop</t>
  </si>
  <si>
    <t>school</t>
  </si>
  <si>
    <t>sculpture</t>
  </si>
  <si>
    <t>seafood restaurant</t>
  </si>
  <si>
    <t>secondary school</t>
  </si>
  <si>
    <t>shoe store</t>
  </si>
  <si>
    <t>shopping mall</t>
  </si>
  <si>
    <t>skateboard park</t>
  </si>
  <si>
    <t>ski resort</t>
  </si>
  <si>
    <t>skin care clinic</t>
  </si>
  <si>
    <t>spa</t>
  </si>
  <si>
    <t>sporting goods store</t>
  </si>
  <si>
    <t>sports club</t>
  </si>
  <si>
    <t>sports coaching</t>
  </si>
  <si>
    <t>sports complex</t>
  </si>
  <si>
    <t>stadium</t>
  </si>
  <si>
    <t>state park</t>
  </si>
  <si>
    <t>steak house</t>
  </si>
  <si>
    <t>storage</t>
  </si>
  <si>
    <t>subway station</t>
  </si>
  <si>
    <t>summer camp organizer</t>
  </si>
  <si>
    <t>supermarket</t>
  </si>
  <si>
    <t>swimming pool</t>
  </si>
  <si>
    <t>taxi stand</t>
  </si>
  <si>
    <t>tea house</t>
  </si>
  <si>
    <t>telecommunications service provider</t>
  </si>
  <si>
    <t>tour agency</t>
  </si>
  <si>
    <t>tourist attraction</t>
  </si>
  <si>
    <t>tourist information center</t>
  </si>
  <si>
    <t>train station</t>
  </si>
  <si>
    <t>transit depot</t>
  </si>
  <si>
    <t>transit station</t>
  </si>
  <si>
    <t>travel agency</t>
  </si>
  <si>
    <t>truck stop</t>
  </si>
  <si>
    <t>university</t>
  </si>
  <si>
    <t>veterinary care</t>
  </si>
  <si>
    <t>visitor center</t>
  </si>
  <si>
    <t>warehouse store</t>
  </si>
  <si>
    <t>water park</t>
  </si>
  <si>
    <t>wedding venue</t>
  </si>
  <si>
    <t>wholesaler</t>
  </si>
  <si>
    <t>wildlife park</t>
  </si>
  <si>
    <t>wildlife refuge</t>
  </si>
  <si>
    <t>wine bar</t>
  </si>
  <si>
    <t>zoo</t>
  </si>
  <si>
    <t>airfield</t>
  </si>
  <si>
    <t>rocket</t>
  </si>
  <si>
    <t>marker</t>
  </si>
  <si>
    <t>mountain</t>
  </si>
  <si>
    <t>volcano</t>
  </si>
  <si>
    <t>alcohol-shop</t>
  </si>
  <si>
    <t>amusement-park</t>
  </si>
  <si>
    <t>aquarium</t>
  </si>
  <si>
    <t>art-gallery</t>
  </si>
  <si>
    <t>attraction</t>
  </si>
  <si>
    <t>beer</t>
  </si>
  <si>
    <t>bicycle</t>
  </si>
  <si>
    <t>cafe</t>
  </si>
  <si>
    <t>campsite</t>
  </si>
  <si>
    <t>car</t>
  </si>
  <si>
    <t>castle</t>
  </si>
  <si>
    <t>cinema</t>
  </si>
  <si>
    <t>clothing-store</t>
  </si>
  <si>
    <t>college</t>
  </si>
  <si>
    <t>dentist</t>
  </si>
  <si>
    <t>doctor</t>
  </si>
  <si>
    <t>dog-park</t>
  </si>
  <si>
    <t>drinking-water</t>
  </si>
  <si>
    <t>fast-food</t>
  </si>
  <si>
    <t>fire-station</t>
  </si>
  <si>
    <t>fuel</t>
  </si>
  <si>
    <t>golf</t>
  </si>
  <si>
    <t>grocery</t>
  </si>
  <si>
    <t>harbor</t>
  </si>
  <si>
    <t>ice-cream</t>
  </si>
  <si>
    <t>information</t>
  </si>
  <si>
    <t>laundry</t>
  </si>
  <si>
    <t>music</t>
  </si>
  <si>
    <t>picnic-site</t>
  </si>
  <si>
    <t>place-of-worship</t>
  </si>
  <si>
    <t>post</t>
  </si>
  <si>
    <t>religious-christian</t>
  </si>
  <si>
    <t>religious-jewish</t>
  </si>
  <si>
    <t>religious-muslim</t>
  </si>
  <si>
    <t>restaurant</t>
  </si>
  <si>
    <t>shop</t>
  </si>
  <si>
    <t>swimming</t>
  </si>
  <si>
    <t>theatre</t>
  </si>
  <si>
    <t>toilet</t>
  </si>
  <si>
    <t>town-hall</t>
  </si>
  <si>
    <t>veterinary</t>
  </si>
  <si>
    <t>bicycle-share</t>
  </si>
  <si>
    <t>bus</t>
  </si>
  <si>
    <t>ferry</t>
  </si>
  <si>
    <t>rail</t>
  </si>
  <si>
    <t>rail-metro</t>
  </si>
  <si>
    <t>rail-light</t>
  </si>
  <si>
    <t>entrance</t>
  </si>
  <si>
    <t xml:space="preserve">waterfall </t>
  </si>
  <si>
    <t xml:space="preserve">american-football </t>
  </si>
  <si>
    <t xml:space="preserve">basketball </t>
  </si>
  <si>
    <t xml:space="preserve">beach </t>
  </si>
  <si>
    <t xml:space="preserve">bowling-alley </t>
  </si>
  <si>
    <t xml:space="preserve">bridge </t>
  </si>
  <si>
    <t xml:space="preserve">car-rental </t>
  </si>
  <si>
    <t xml:space="preserve">car-repair </t>
  </si>
  <si>
    <t xml:space="preserve">casino </t>
  </si>
  <si>
    <t xml:space="preserve">charging-station </t>
  </si>
  <si>
    <t xml:space="preserve">communications-tower </t>
  </si>
  <si>
    <t xml:space="preserve">confectionery </t>
  </si>
  <si>
    <t xml:space="preserve">convenience </t>
  </si>
  <si>
    <t xml:space="preserve">farm </t>
  </si>
  <si>
    <t xml:space="preserve">fitness-centre </t>
  </si>
  <si>
    <t xml:space="preserve">furniture </t>
  </si>
  <si>
    <t xml:space="preserve">globe </t>
  </si>
  <si>
    <t xml:space="preserve">hardware </t>
  </si>
  <si>
    <t xml:space="preserve">horse-riding </t>
  </si>
  <si>
    <t xml:space="preserve">jewelry-store </t>
  </si>
  <si>
    <t xml:space="preserve">mobile-phone </t>
  </si>
  <si>
    <t xml:space="preserve">optician </t>
  </si>
  <si>
    <t xml:space="preserve">parking </t>
  </si>
  <si>
    <t xml:space="preserve">parking-garage </t>
  </si>
  <si>
    <t xml:space="preserve">pitch </t>
  </si>
  <si>
    <t xml:space="preserve">ranger-station </t>
  </si>
  <si>
    <t xml:space="preserve">religious-buddhist </t>
  </si>
  <si>
    <t xml:space="preserve">restaurant-noodle </t>
  </si>
  <si>
    <t xml:space="preserve">restaurant-pizza </t>
  </si>
  <si>
    <t xml:space="preserve">restaurant-seafood </t>
  </si>
  <si>
    <t xml:space="preserve">shoe </t>
  </si>
  <si>
    <t xml:space="preserve">skateboard </t>
  </si>
  <si>
    <t xml:space="preserve">slipway </t>
  </si>
  <si>
    <t xml:space="preserve">suitcase </t>
  </si>
  <si>
    <t xml:space="preserve">table-tennis </t>
  </si>
  <si>
    <t xml:space="preserve">tennis </t>
  </si>
  <si>
    <t xml:space="preserve">viewpoint </t>
  </si>
  <si>
    <t xml:space="preserve">volleyball </t>
  </si>
  <si>
    <t xml:space="preserve">watch </t>
  </si>
  <si>
    <t xml:space="preserve">watermill </t>
  </si>
  <si>
    <t xml:space="preserve">windmill </t>
  </si>
  <si>
    <t>poi_type</t>
  </si>
  <si>
    <t>maki</t>
  </si>
  <si>
    <t>maki_original</t>
  </si>
  <si>
    <t>maki_clean</t>
  </si>
  <si>
    <t>theater</t>
  </si>
  <si>
    <t>basketball</t>
  </si>
  <si>
    <t>restaurant-noodle</t>
  </si>
  <si>
    <t>car-rental</t>
  </si>
  <si>
    <t>car-repair</t>
  </si>
  <si>
    <t>mobile-phone</t>
  </si>
  <si>
    <t>convenience</t>
  </si>
  <si>
    <t>communications-tower</t>
  </si>
  <si>
    <t>charging-station</t>
  </si>
  <si>
    <t>fitness-centre</t>
  </si>
  <si>
    <t>furniture</t>
  </si>
  <si>
    <t>hardware</t>
  </si>
  <si>
    <t>jewelry-store</t>
  </si>
  <si>
    <t>warehouse</t>
  </si>
  <si>
    <t>restaurant-pizza</t>
  </si>
  <si>
    <t>restaurant-seafood</t>
  </si>
  <si>
    <t>shoe</t>
  </si>
  <si>
    <t>skateboard</t>
  </si>
  <si>
    <t>suitcase</t>
  </si>
  <si>
    <t>landmark</t>
  </si>
  <si>
    <t>class</t>
  </si>
  <si>
    <t>motorist</t>
  </si>
  <si>
    <t>general</t>
  </si>
  <si>
    <t>waterfall</t>
  </si>
  <si>
    <t>park_like</t>
  </si>
  <si>
    <t>food_and_drink_stores</t>
  </si>
  <si>
    <t>american-football</t>
  </si>
  <si>
    <t>sport_and_leisure</t>
  </si>
  <si>
    <t>arts_and_entertainment</t>
  </si>
  <si>
    <t>visitor_amenities</t>
  </si>
  <si>
    <t>commercial_services</t>
  </si>
  <si>
    <t>food_and_drink</t>
  </si>
  <si>
    <t>beach</t>
  </si>
  <si>
    <t>bowling-alley</t>
  </si>
  <si>
    <t>bridge</t>
  </si>
  <si>
    <t>casino</t>
  </si>
  <si>
    <t>historic</t>
  </si>
  <si>
    <t>store_like</t>
  </si>
  <si>
    <t>education</t>
  </si>
  <si>
    <t>industrial</t>
  </si>
  <si>
    <t>medical</t>
  </si>
  <si>
    <t>public_facilities</t>
  </si>
  <si>
    <t>globe</t>
  </si>
  <si>
    <t>horse-riding</t>
  </si>
  <si>
    <t>optician</t>
  </si>
  <si>
    <t>parking-garage</t>
  </si>
  <si>
    <t>pitch</t>
  </si>
  <si>
    <t>religion</t>
  </si>
  <si>
    <t>ranger-station</t>
  </si>
  <si>
    <t>religious-buddhist</t>
  </si>
  <si>
    <t>slipway</t>
  </si>
  <si>
    <t>table-tennis</t>
  </si>
  <si>
    <t>tennis</t>
  </si>
  <si>
    <t>viewpoint</t>
  </si>
  <si>
    <t>volleyball</t>
  </si>
  <si>
    <t>watch</t>
  </si>
  <si>
    <t>watermill</t>
  </si>
  <si>
    <t>windmill</t>
  </si>
  <si>
    <t>category</t>
  </si>
  <si>
    <t>b64f1b</t>
  </si>
  <si>
    <t>5c4923</t>
  </si>
  <si>
    <t>8e5a57</t>
  </si>
  <si>
    <t>78553a</t>
  </si>
  <si>
    <t>color</t>
  </si>
  <si>
    <t>alcohol_shop</t>
  </si>
  <si>
    <t>amusement_park</t>
  </si>
  <si>
    <t>art_gallery</t>
  </si>
  <si>
    <t>bicycle_rental</t>
  </si>
  <si>
    <t>circle</t>
  </si>
  <si>
    <t>circle_stroked</t>
  </si>
  <si>
    <t>clothing_store</t>
  </si>
  <si>
    <t>dog_park</t>
  </si>
  <si>
    <t>drinking_water</t>
  </si>
  <si>
    <t>fast_food</t>
  </si>
  <si>
    <t>ferry_terminal</t>
  </si>
  <si>
    <t>fire_station</t>
  </si>
  <si>
    <t>ice_cream</t>
  </si>
  <si>
    <t>picnic_site</t>
  </si>
  <si>
    <t>place_of_worship</t>
  </si>
  <si>
    <t>rail_light</t>
  </si>
  <si>
    <t>rail_metro</t>
  </si>
  <si>
    <t>railway</t>
  </si>
  <si>
    <t>religious_christian</t>
  </si>
  <si>
    <t>religious_jewish</t>
  </si>
  <si>
    <t>religious_muslim</t>
  </si>
  <si>
    <t>star</t>
  </si>
  <si>
    <t>town_hall</t>
  </si>
  <si>
    <t>triangle</t>
  </si>
  <si>
    <t>triangle_stroked</t>
  </si>
  <si>
    <t>osm</t>
  </si>
  <si>
    <t>osm_sprite</t>
  </si>
  <si>
    <t>housing_complex</t>
  </si>
  <si>
    <t>camp</t>
  </si>
  <si>
    <t>logging</t>
  </si>
  <si>
    <t>aerialway</t>
  </si>
  <si>
    <t>animal-shelter</t>
  </si>
  <si>
    <t>arrow</t>
  </si>
  <si>
    <t>bank-JP</t>
  </si>
  <si>
    <t>barrier</t>
  </si>
  <si>
    <t>baseball</t>
  </si>
  <si>
    <t>bbq</t>
  </si>
  <si>
    <t>blood-bank</t>
  </si>
  <si>
    <t>building-alt1</t>
  </si>
  <si>
    <t>castle-JP</t>
  </si>
  <si>
    <t>caution</t>
  </si>
  <si>
    <t>cemetery-JP</t>
  </si>
  <si>
    <t>circle-stroked</t>
  </si>
  <si>
    <t>city</t>
  </si>
  <si>
    <t>college-JP</t>
  </si>
  <si>
    <t>commercial</t>
  </si>
  <si>
    <t>construction</t>
  </si>
  <si>
    <t>cricket</t>
  </si>
  <si>
    <t>cross</t>
  </si>
  <si>
    <t>dam</t>
  </si>
  <si>
    <t>danger</t>
  </si>
  <si>
    <t>defibrillator</t>
  </si>
  <si>
    <t>diamond</t>
  </si>
  <si>
    <t>elevator</t>
  </si>
  <si>
    <t>emergency-phone</t>
  </si>
  <si>
    <t>entrance-alt1</t>
  </si>
  <si>
    <t>fence</t>
  </si>
  <si>
    <t>ferry-JP</t>
  </si>
  <si>
    <t>fire-station-JP</t>
  </si>
  <si>
    <t>florist</t>
  </si>
  <si>
    <t>gaming</t>
  </si>
  <si>
    <t>garden-centre</t>
  </si>
  <si>
    <t>gate</t>
  </si>
  <si>
    <t>gift</t>
  </si>
  <si>
    <t>hairdresser</t>
  </si>
  <si>
    <t>heart</t>
  </si>
  <si>
    <t>highway-rest-area</t>
  </si>
  <si>
    <t>home</t>
  </si>
  <si>
    <t>hospital-JP</t>
  </si>
  <si>
    <t>hot-spring</t>
  </si>
  <si>
    <t>industry</t>
  </si>
  <si>
    <t>karaoke</t>
  </si>
  <si>
    <t>landmark-JP</t>
  </si>
  <si>
    <t>landuse</t>
  </si>
  <si>
    <t>lift-gate</t>
  </si>
  <si>
    <t>lighthouse-JP</t>
  </si>
  <si>
    <t>lighthouse</t>
  </si>
  <si>
    <t>marae</t>
  </si>
  <si>
    <t>marker-stroked</t>
  </si>
  <si>
    <t>monument-JP</t>
  </si>
  <si>
    <t>natural</t>
  </si>
  <si>
    <t>nightclub</t>
  </si>
  <si>
    <t>observation-tower</t>
  </si>
  <si>
    <t>paint</t>
  </si>
  <si>
    <t>park-alt1</t>
  </si>
  <si>
    <t>parking-paid</t>
  </si>
  <si>
    <t>police-JP</t>
  </si>
  <si>
    <t>post-JP</t>
  </si>
  <si>
    <t>racetrack-boat</t>
  </si>
  <si>
    <t>racetrack-cycling</t>
  </si>
  <si>
    <t>racetrack-horse</t>
  </si>
  <si>
    <t>racetrack</t>
  </si>
  <si>
    <t>recycling</t>
  </si>
  <si>
    <t>religious-shinto</t>
  </si>
  <si>
    <t>residential-community</t>
  </si>
  <si>
    <t>restaurant-bbq</t>
  </si>
  <si>
    <t>restaurant-sushi</t>
  </si>
  <si>
    <t>road-accident</t>
  </si>
  <si>
    <t>roadblock</t>
  </si>
  <si>
    <t>school-JP</t>
  </si>
  <si>
    <t>scooter</t>
  </si>
  <si>
    <t>shelter</t>
  </si>
  <si>
    <t>skiing</t>
  </si>
  <si>
    <t>slaughterhouse</t>
  </si>
  <si>
    <t>snowmobile</t>
  </si>
  <si>
    <t>soccer</t>
  </si>
  <si>
    <t>square-stroked</t>
  </si>
  <si>
    <t>square</t>
  </si>
  <si>
    <t>star-stroked</t>
  </si>
  <si>
    <t>taxi</t>
  </si>
  <si>
    <t>teahouse</t>
  </si>
  <si>
    <t>telephone</t>
  </si>
  <si>
    <t>terminal</t>
  </si>
  <si>
    <t>toll</t>
  </si>
  <si>
    <t>town</t>
  </si>
  <si>
    <t>triangle-stroked</t>
  </si>
  <si>
    <t>tunnel</t>
  </si>
  <si>
    <t>village</t>
  </si>
  <si>
    <t>waste-basket</t>
  </si>
  <si>
    <t>water</t>
  </si>
  <si>
    <t>wetland</t>
  </si>
  <si>
    <t>wheelchair</t>
  </si>
  <si>
    <t>osm_icon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</si>
</sst>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FDE84-0A6A-4D4B-A041-CD9077D6D81B}">
  <dimension ref="A1:H198"/>
  <sheetViews>
    <sheetView workbookViewId="0">
      <selection activeCell="L47" sqref="L47"/>
    </sheetView>
  </sheetViews>
  <sheetFormatPr defaultRowHeight="14.4" x14ac:dyDescent="0.3"/>
  <cols>
    <col min="1" max="1" width="31" bestFit="1" customWidth="1"/>
    <col min="4" max="4" width="20.21875" bestFit="1" customWidth="1"/>
    <col min="5" max="5" width="19.88671875" bestFit="1" customWidth="1"/>
    <col min="7" max="7" width="28" customWidth="1"/>
    <col min="8" max="8" width="18.33203125" customWidth="1"/>
  </cols>
  <sheetData>
    <row r="1" spans="1:8" s="1" customFormat="1" x14ac:dyDescent="0.3">
      <c r="A1" s="1" t="s">
        <v>291</v>
      </c>
      <c r="B1" s="1" t="s">
        <v>292</v>
      </c>
      <c r="D1" s="1" t="s">
        <v>293</v>
      </c>
      <c r="E1" s="1" t="s">
        <v>294</v>
      </c>
      <c r="G1" s="2" t="s">
        <v>291</v>
      </c>
      <c r="H1" s="2" t="s">
        <v>294</v>
      </c>
    </row>
    <row r="2" spans="1:8" x14ac:dyDescent="0.3">
      <c r="A2" t="s">
        <v>0</v>
      </c>
      <c r="B2" t="s">
        <v>236</v>
      </c>
      <c r="D2" t="s">
        <v>4</v>
      </c>
      <c r="E2" t="str">
        <f>TRIM(D2)</f>
        <v>airport</v>
      </c>
      <c r="G2" s="3" t="s">
        <v>0</v>
      </c>
      <c r="H2" s="3" t="s">
        <v>237</v>
      </c>
    </row>
    <row r="3" spans="1:8" x14ac:dyDescent="0.3">
      <c r="A3" t="s">
        <v>1</v>
      </c>
      <c r="B3" t="s">
        <v>15</v>
      </c>
      <c r="D3" t="s">
        <v>197</v>
      </c>
      <c r="E3" t="str">
        <f t="shared" ref="E3:E66" si="0">TRIM(D3)</f>
        <v>airfield</v>
      </c>
      <c r="G3" s="3" t="s">
        <v>1</v>
      </c>
      <c r="H3" s="3" t="s">
        <v>15</v>
      </c>
    </row>
    <row r="4" spans="1:8" x14ac:dyDescent="0.3">
      <c r="A4" t="s">
        <v>2</v>
      </c>
      <c r="B4" t="s">
        <v>167</v>
      </c>
      <c r="D4" t="s">
        <v>94</v>
      </c>
      <c r="E4" t="str">
        <f t="shared" si="0"/>
        <v>heliport</v>
      </c>
      <c r="G4" s="3" t="s">
        <v>2</v>
      </c>
      <c r="H4" s="3" t="s">
        <v>296</v>
      </c>
    </row>
    <row r="5" spans="1:8" x14ac:dyDescent="0.3">
      <c r="A5" t="s">
        <v>3</v>
      </c>
      <c r="B5" t="s">
        <v>236</v>
      </c>
      <c r="D5" t="s">
        <v>198</v>
      </c>
      <c r="E5" t="str">
        <f t="shared" si="0"/>
        <v>rocket</v>
      </c>
      <c r="G5" s="3" t="s">
        <v>3</v>
      </c>
      <c r="H5" s="3" t="s">
        <v>236</v>
      </c>
    </row>
    <row r="6" spans="1:8" x14ac:dyDescent="0.3">
      <c r="A6" t="s">
        <v>4</v>
      </c>
      <c r="B6" t="s">
        <v>4</v>
      </c>
      <c r="D6" t="s">
        <v>199</v>
      </c>
      <c r="E6" t="str">
        <f t="shared" si="0"/>
        <v>marker</v>
      </c>
      <c r="G6" s="3" t="s">
        <v>4</v>
      </c>
      <c r="H6" s="3" t="s">
        <v>4</v>
      </c>
    </row>
    <row r="7" spans="1:8" x14ac:dyDescent="0.3">
      <c r="A7" t="s">
        <v>5</v>
      </c>
      <c r="B7" t="str">
        <f t="shared" ref="B7" si="1">TRIM(A7)</f>
        <v>amusement park</v>
      </c>
      <c r="D7" t="s">
        <v>200</v>
      </c>
      <c r="E7" t="str">
        <f t="shared" si="0"/>
        <v>mountain</v>
      </c>
      <c r="G7" s="3" t="s">
        <v>5</v>
      </c>
      <c r="H7" s="3" t="s">
        <v>203</v>
      </c>
    </row>
    <row r="8" spans="1:8" x14ac:dyDescent="0.3">
      <c r="A8" t="s">
        <v>6</v>
      </c>
      <c r="B8" t="s">
        <v>199</v>
      </c>
      <c r="D8" t="s">
        <v>201</v>
      </c>
      <c r="E8" t="str">
        <f t="shared" si="0"/>
        <v>volcano</v>
      </c>
      <c r="G8" s="3" t="s">
        <v>6</v>
      </c>
      <c r="H8" s="3" t="s">
        <v>116</v>
      </c>
    </row>
    <row r="9" spans="1:8" x14ac:dyDescent="0.3">
      <c r="A9" t="s">
        <v>7</v>
      </c>
      <c r="B9" t="s">
        <v>199</v>
      </c>
      <c r="D9" t="s">
        <v>250</v>
      </c>
      <c r="E9" t="str">
        <f t="shared" si="0"/>
        <v>waterfall</v>
      </c>
      <c r="G9" s="3" t="s">
        <v>7</v>
      </c>
      <c r="H9" s="3" t="s">
        <v>116</v>
      </c>
    </row>
    <row r="10" spans="1:8" x14ac:dyDescent="0.3">
      <c r="A10" t="s">
        <v>8</v>
      </c>
      <c r="B10" t="s">
        <v>205</v>
      </c>
      <c r="D10" t="s">
        <v>202</v>
      </c>
      <c r="E10" t="str">
        <f t="shared" si="0"/>
        <v>alcohol-shop</v>
      </c>
      <c r="G10" s="3" t="s">
        <v>8</v>
      </c>
      <c r="H10" s="3" t="s">
        <v>205</v>
      </c>
    </row>
    <row r="11" spans="1:8" x14ac:dyDescent="0.3">
      <c r="A11" t="s">
        <v>9</v>
      </c>
      <c r="B11" t="s">
        <v>205</v>
      </c>
      <c r="D11" t="s">
        <v>251</v>
      </c>
      <c r="E11" t="str">
        <f t="shared" si="0"/>
        <v>american-football</v>
      </c>
      <c r="G11" s="3" t="s">
        <v>9</v>
      </c>
      <c r="H11" s="3" t="s">
        <v>205</v>
      </c>
    </row>
    <row r="12" spans="1:8" x14ac:dyDescent="0.3">
      <c r="A12" t="s">
        <v>10</v>
      </c>
      <c r="B12" t="s">
        <v>236</v>
      </c>
      <c r="D12" t="s">
        <v>203</v>
      </c>
      <c r="E12" t="str">
        <f t="shared" si="0"/>
        <v>amusement-park</v>
      </c>
      <c r="G12" s="3" t="s">
        <v>10</v>
      </c>
      <c r="H12" s="3" t="s">
        <v>297</v>
      </c>
    </row>
    <row r="13" spans="1:8" x14ac:dyDescent="0.3">
      <c r="A13" t="s">
        <v>11</v>
      </c>
      <c r="B13" t="s">
        <v>15</v>
      </c>
      <c r="D13" t="s">
        <v>204</v>
      </c>
      <c r="E13" t="str">
        <f t="shared" si="0"/>
        <v>aquarium</v>
      </c>
      <c r="G13" s="3" t="s">
        <v>11</v>
      </c>
      <c r="H13" s="3" t="s">
        <v>15</v>
      </c>
    </row>
    <row r="14" spans="1:8" x14ac:dyDescent="0.3">
      <c r="A14" t="s">
        <v>12</v>
      </c>
      <c r="B14" t="s">
        <v>295</v>
      </c>
      <c r="D14" t="s">
        <v>205</v>
      </c>
      <c r="E14" t="str">
        <f t="shared" si="0"/>
        <v>art-gallery</v>
      </c>
      <c r="G14" s="3" t="s">
        <v>12</v>
      </c>
      <c r="H14" s="3" t="s">
        <v>239</v>
      </c>
    </row>
    <row r="15" spans="1:8" x14ac:dyDescent="0.3">
      <c r="A15" t="s">
        <v>13</v>
      </c>
      <c r="B15" t="s">
        <v>237</v>
      </c>
      <c r="D15" t="s">
        <v>206</v>
      </c>
      <c r="E15" t="str">
        <f t="shared" si="0"/>
        <v>attraction</v>
      </c>
      <c r="G15" s="3" t="s">
        <v>13</v>
      </c>
      <c r="H15" s="3" t="s">
        <v>211</v>
      </c>
    </row>
    <row r="16" spans="1:8" x14ac:dyDescent="0.3">
      <c r="A16" t="s">
        <v>14</v>
      </c>
      <c r="B16" t="s">
        <v>14</v>
      </c>
      <c r="D16" t="s">
        <v>14</v>
      </c>
      <c r="E16" t="str">
        <f t="shared" si="0"/>
        <v>bakery</v>
      </c>
      <c r="G16" s="3" t="s">
        <v>14</v>
      </c>
      <c r="H16" s="3" t="s">
        <v>14</v>
      </c>
    </row>
    <row r="17" spans="1:8" x14ac:dyDescent="0.3">
      <c r="A17" t="s">
        <v>15</v>
      </c>
      <c r="B17" t="s">
        <v>15</v>
      </c>
      <c r="D17" t="s">
        <v>15</v>
      </c>
      <c r="E17" t="str">
        <f t="shared" si="0"/>
        <v>bank</v>
      </c>
      <c r="G17" s="3" t="s">
        <v>15</v>
      </c>
      <c r="H17" s="3" t="s">
        <v>15</v>
      </c>
    </row>
    <row r="18" spans="1:8" x14ac:dyDescent="0.3">
      <c r="A18" t="s">
        <v>16</v>
      </c>
      <c r="B18" t="s">
        <v>16</v>
      </c>
      <c r="D18" t="s">
        <v>16</v>
      </c>
      <c r="E18" t="str">
        <f t="shared" si="0"/>
        <v>bar</v>
      </c>
      <c r="G18" s="3" t="s">
        <v>16</v>
      </c>
      <c r="H18" s="3" t="s">
        <v>16</v>
      </c>
    </row>
    <row r="19" spans="1:8" x14ac:dyDescent="0.3">
      <c r="A19" t="s">
        <v>17</v>
      </c>
      <c r="B19" t="s">
        <v>236</v>
      </c>
      <c r="D19" t="s">
        <v>252</v>
      </c>
      <c r="E19" t="str">
        <f t="shared" si="0"/>
        <v>basketball</v>
      </c>
      <c r="G19" s="3" t="s">
        <v>17</v>
      </c>
      <c r="H19" s="3" t="s">
        <v>236</v>
      </c>
    </row>
    <row r="20" spans="1:8" x14ac:dyDescent="0.3">
      <c r="A20" t="s">
        <v>18</v>
      </c>
      <c r="B20" t="e">
        <v>#N/A</v>
      </c>
      <c r="D20" t="s">
        <v>253</v>
      </c>
      <c r="E20" t="str">
        <f t="shared" si="0"/>
        <v>beach</v>
      </c>
      <c r="G20" s="3" t="s">
        <v>18</v>
      </c>
      <c r="H20" s="3" t="s">
        <v>237</v>
      </c>
    </row>
    <row r="21" spans="1:8" x14ac:dyDescent="0.3">
      <c r="A21" t="s">
        <v>19</v>
      </c>
      <c r="B21" t="e">
        <v>#N/A</v>
      </c>
      <c r="D21" t="s">
        <v>207</v>
      </c>
      <c r="E21" t="str">
        <f t="shared" si="0"/>
        <v>beer</v>
      </c>
      <c r="G21" s="3" t="s">
        <v>19</v>
      </c>
      <c r="H21" s="3" t="s">
        <v>237</v>
      </c>
    </row>
    <row r="22" spans="1:8" x14ac:dyDescent="0.3">
      <c r="A22" t="s">
        <v>20</v>
      </c>
      <c r="B22" t="s">
        <v>220</v>
      </c>
      <c r="D22" t="s">
        <v>208</v>
      </c>
      <c r="E22" t="str">
        <f t="shared" si="0"/>
        <v>bicycle</v>
      </c>
      <c r="G22" s="3" t="s">
        <v>20</v>
      </c>
      <c r="H22" s="3" t="s">
        <v>116</v>
      </c>
    </row>
    <row r="23" spans="1:8" x14ac:dyDescent="0.3">
      <c r="A23" t="s">
        <v>21</v>
      </c>
      <c r="B23" t="s">
        <v>208</v>
      </c>
      <c r="D23" t="s">
        <v>254</v>
      </c>
      <c r="E23" t="str">
        <f t="shared" si="0"/>
        <v>bowling-alley</v>
      </c>
      <c r="G23" s="3" t="s">
        <v>21</v>
      </c>
      <c r="H23" s="3" t="s">
        <v>208</v>
      </c>
    </row>
    <row r="24" spans="1:8" x14ac:dyDescent="0.3">
      <c r="A24" t="s">
        <v>22</v>
      </c>
      <c r="B24" t="s">
        <v>205</v>
      </c>
      <c r="D24" t="s">
        <v>255</v>
      </c>
      <c r="E24" t="str">
        <f t="shared" si="0"/>
        <v>bridge</v>
      </c>
      <c r="G24" s="3" t="s">
        <v>22</v>
      </c>
      <c r="H24" s="3" t="s">
        <v>237</v>
      </c>
    </row>
    <row r="25" spans="1:8" x14ac:dyDescent="0.3">
      <c r="A25" t="s">
        <v>23</v>
      </c>
      <c r="B25" t="e">
        <v>#N/A</v>
      </c>
      <c r="D25" t="s">
        <v>209</v>
      </c>
      <c r="E25" t="str">
        <f t="shared" si="0"/>
        <v>cafe</v>
      </c>
      <c r="G25" s="3" t="s">
        <v>23</v>
      </c>
      <c r="H25" s="3" t="s">
        <v>237</v>
      </c>
    </row>
    <row r="26" spans="1:8" x14ac:dyDescent="0.3">
      <c r="A26" t="s">
        <v>24</v>
      </c>
      <c r="B26" t="e">
        <v>#N/A</v>
      </c>
      <c r="D26" t="s">
        <v>210</v>
      </c>
      <c r="E26" t="str">
        <f t="shared" si="0"/>
        <v>campsite</v>
      </c>
      <c r="G26" s="3" t="s">
        <v>24</v>
      </c>
      <c r="H26" s="3" t="s">
        <v>84</v>
      </c>
    </row>
    <row r="27" spans="1:8" x14ac:dyDescent="0.3">
      <c r="A27" t="s">
        <v>25</v>
      </c>
      <c r="B27" t="e">
        <v>#N/A</v>
      </c>
      <c r="D27" t="s">
        <v>211</v>
      </c>
      <c r="E27" t="str">
        <f t="shared" si="0"/>
        <v>car</v>
      </c>
      <c r="G27" s="3" t="s">
        <v>25</v>
      </c>
      <c r="H27" s="3" t="s">
        <v>236</v>
      </c>
    </row>
    <row r="28" spans="1:8" x14ac:dyDescent="0.3">
      <c r="A28" t="s">
        <v>26</v>
      </c>
      <c r="B28" t="e">
        <v>#N/A</v>
      </c>
      <c r="D28" t="s">
        <v>256</v>
      </c>
      <c r="E28" t="str">
        <f t="shared" si="0"/>
        <v>car-rental</v>
      </c>
      <c r="G28" s="3" t="s">
        <v>26</v>
      </c>
      <c r="H28" s="3" t="s">
        <v>199</v>
      </c>
    </row>
    <row r="29" spans="1:8" x14ac:dyDescent="0.3">
      <c r="A29" t="s">
        <v>27</v>
      </c>
      <c r="B29" t="e">
        <v>#N/A</v>
      </c>
      <c r="D29" t="s">
        <v>257</v>
      </c>
      <c r="E29" t="str">
        <f t="shared" si="0"/>
        <v>car-repair</v>
      </c>
      <c r="G29" s="3" t="s">
        <v>27</v>
      </c>
      <c r="H29" s="3" t="s">
        <v>244</v>
      </c>
    </row>
    <row r="30" spans="1:8" x14ac:dyDescent="0.3">
      <c r="A30" t="s">
        <v>28</v>
      </c>
      <c r="B30" t="e">
        <v>#N/A</v>
      </c>
      <c r="D30" t="s">
        <v>258</v>
      </c>
      <c r="E30" t="str">
        <f t="shared" si="0"/>
        <v>casino</v>
      </c>
      <c r="G30" s="3" t="s">
        <v>28</v>
      </c>
      <c r="H30" s="3" t="s">
        <v>244</v>
      </c>
    </row>
    <row r="31" spans="1:8" x14ac:dyDescent="0.3">
      <c r="A31" t="s">
        <v>29</v>
      </c>
      <c r="B31" t="e">
        <v>#N/A</v>
      </c>
      <c r="D31" t="s">
        <v>212</v>
      </c>
      <c r="E31" t="str">
        <f t="shared" si="0"/>
        <v>castle</v>
      </c>
      <c r="G31" s="3" t="s">
        <v>29</v>
      </c>
      <c r="H31" s="3" t="s">
        <v>237</v>
      </c>
    </row>
    <row r="32" spans="1:8" x14ac:dyDescent="0.3">
      <c r="A32" t="s">
        <v>30</v>
      </c>
      <c r="B32" t="e">
        <v>#N/A</v>
      </c>
      <c r="D32" t="s">
        <v>38</v>
      </c>
      <c r="E32" t="str">
        <f t="shared" si="0"/>
        <v>cemetery</v>
      </c>
      <c r="G32" s="3" t="s">
        <v>30</v>
      </c>
      <c r="H32" s="3" t="s">
        <v>209</v>
      </c>
    </row>
    <row r="33" spans="1:8" x14ac:dyDescent="0.3">
      <c r="A33" t="s">
        <v>31</v>
      </c>
      <c r="B33" t="e">
        <v>#N/A</v>
      </c>
      <c r="D33" t="s">
        <v>259</v>
      </c>
      <c r="E33" t="str">
        <f t="shared" si="0"/>
        <v>charging-station</v>
      </c>
      <c r="G33" s="3" t="s">
        <v>31</v>
      </c>
      <c r="H33" s="3" t="s">
        <v>51</v>
      </c>
    </row>
    <row r="34" spans="1:8" x14ac:dyDescent="0.3">
      <c r="A34" t="s">
        <v>32</v>
      </c>
      <c r="B34" t="e">
        <v>#N/A</v>
      </c>
      <c r="D34" t="s">
        <v>213</v>
      </c>
      <c r="E34" t="str">
        <f t="shared" si="0"/>
        <v>cinema</v>
      </c>
      <c r="G34" s="3" t="s">
        <v>32</v>
      </c>
      <c r="H34" s="3" t="s">
        <v>211</v>
      </c>
    </row>
    <row r="35" spans="1:8" x14ac:dyDescent="0.3">
      <c r="A35" t="s">
        <v>33</v>
      </c>
      <c r="B35" t="e">
        <v>#N/A</v>
      </c>
      <c r="D35" t="s">
        <v>214</v>
      </c>
      <c r="E35" t="str">
        <f t="shared" si="0"/>
        <v>clothing-store</v>
      </c>
      <c r="G35" s="3" t="s">
        <v>33</v>
      </c>
      <c r="H35" s="3" t="s">
        <v>298</v>
      </c>
    </row>
    <row r="36" spans="1:8" x14ac:dyDescent="0.3">
      <c r="A36" t="s">
        <v>34</v>
      </c>
      <c r="B36" t="e">
        <v>#N/A</v>
      </c>
      <c r="D36" t="s">
        <v>215</v>
      </c>
      <c r="E36" t="str">
        <f t="shared" si="0"/>
        <v>college</v>
      </c>
      <c r="G36" s="3" t="s">
        <v>34</v>
      </c>
      <c r="H36" s="3" t="s">
        <v>299</v>
      </c>
    </row>
    <row r="37" spans="1:8" x14ac:dyDescent="0.3">
      <c r="A37" t="s">
        <v>35</v>
      </c>
      <c r="B37" t="e">
        <v>#N/A</v>
      </c>
      <c r="D37" t="s">
        <v>260</v>
      </c>
      <c r="E37" t="str">
        <f t="shared" si="0"/>
        <v>communications-tower</v>
      </c>
      <c r="G37" s="3" t="s">
        <v>35</v>
      </c>
      <c r="H37" s="3" t="s">
        <v>211</v>
      </c>
    </row>
    <row r="38" spans="1:8" x14ac:dyDescent="0.3">
      <c r="A38" t="s">
        <v>36</v>
      </c>
      <c r="B38" t="e">
        <v>#N/A</v>
      </c>
      <c r="D38" t="s">
        <v>261</v>
      </c>
      <c r="E38" t="str">
        <f t="shared" si="0"/>
        <v>confectionery</v>
      </c>
      <c r="G38" s="3" t="s">
        <v>36</v>
      </c>
      <c r="H38" s="3" t="s">
        <v>236</v>
      </c>
    </row>
    <row r="39" spans="1:8" x14ac:dyDescent="0.3">
      <c r="A39" t="s">
        <v>37</v>
      </c>
      <c r="B39" t="e">
        <v>#N/A</v>
      </c>
      <c r="D39" t="s">
        <v>262</v>
      </c>
      <c r="E39" t="str">
        <f t="shared" si="0"/>
        <v>convenience</v>
      </c>
      <c r="G39" s="3" t="s">
        <v>37</v>
      </c>
      <c r="H39" s="3" t="s">
        <v>300</v>
      </c>
    </row>
    <row r="40" spans="1:8" x14ac:dyDescent="0.3">
      <c r="A40" t="s">
        <v>38</v>
      </c>
      <c r="B40" t="s">
        <v>38</v>
      </c>
      <c r="D40" t="s">
        <v>216</v>
      </c>
      <c r="E40" t="str">
        <f t="shared" si="0"/>
        <v>dentist</v>
      </c>
      <c r="G40" s="3" t="s">
        <v>38</v>
      </c>
      <c r="H40" s="3" t="s">
        <v>38</v>
      </c>
    </row>
    <row r="41" spans="1:8" x14ac:dyDescent="0.3">
      <c r="A41" t="s">
        <v>39</v>
      </c>
      <c r="B41" t="e">
        <v>#N/A</v>
      </c>
      <c r="D41" t="s">
        <v>217</v>
      </c>
      <c r="E41" t="str">
        <f t="shared" si="0"/>
        <v>doctor</v>
      </c>
      <c r="G41" s="3" t="s">
        <v>39</v>
      </c>
      <c r="H41" s="3" t="s">
        <v>153</v>
      </c>
    </row>
    <row r="42" spans="1:8" x14ac:dyDescent="0.3">
      <c r="A42" t="s">
        <v>40</v>
      </c>
      <c r="B42" t="e">
        <v>#N/A</v>
      </c>
      <c r="D42" t="s">
        <v>218</v>
      </c>
      <c r="E42" t="str">
        <f t="shared" si="0"/>
        <v>dog-park</v>
      </c>
      <c r="G42" s="3" t="s">
        <v>40</v>
      </c>
      <c r="H42" s="3" t="s">
        <v>210</v>
      </c>
    </row>
    <row r="43" spans="1:8" x14ac:dyDescent="0.3">
      <c r="A43" t="s">
        <v>41</v>
      </c>
      <c r="B43" t="e">
        <v>#N/A</v>
      </c>
      <c r="D43" t="s">
        <v>219</v>
      </c>
      <c r="E43" t="str">
        <f t="shared" si="0"/>
        <v>drinking-water</v>
      </c>
      <c r="G43" s="3" t="s">
        <v>41</v>
      </c>
      <c r="H43" s="3" t="s">
        <v>297</v>
      </c>
    </row>
    <row r="44" spans="1:8" x14ac:dyDescent="0.3">
      <c r="A44" t="s">
        <v>42</v>
      </c>
      <c r="B44" t="e">
        <v>#N/A</v>
      </c>
      <c r="D44" t="s">
        <v>69</v>
      </c>
      <c r="E44" t="str">
        <f t="shared" si="0"/>
        <v>embassy</v>
      </c>
      <c r="G44" s="3" t="s">
        <v>42</v>
      </c>
      <c r="H44" s="3" t="s">
        <v>51</v>
      </c>
    </row>
    <row r="45" spans="1:8" x14ac:dyDescent="0.3">
      <c r="A45" t="s">
        <v>43</v>
      </c>
      <c r="B45" t="e">
        <v>#N/A</v>
      </c>
      <c r="D45" t="s">
        <v>263</v>
      </c>
      <c r="E45" t="str">
        <f t="shared" si="0"/>
        <v>farm</v>
      </c>
      <c r="G45" s="3" t="s">
        <v>43</v>
      </c>
      <c r="H45" s="3" t="s">
        <v>51</v>
      </c>
    </row>
    <row r="46" spans="1:8" x14ac:dyDescent="0.3">
      <c r="A46" t="s">
        <v>44</v>
      </c>
      <c r="B46" t="e">
        <v>#N/A</v>
      </c>
      <c r="D46" t="s">
        <v>220</v>
      </c>
      <c r="E46" t="str">
        <f t="shared" si="0"/>
        <v>fast-food</v>
      </c>
      <c r="G46" s="3" t="s">
        <v>44</v>
      </c>
      <c r="H46" s="3" t="s">
        <v>233</v>
      </c>
    </row>
    <row r="47" spans="1:8" x14ac:dyDescent="0.3">
      <c r="A47" t="s">
        <v>45</v>
      </c>
      <c r="B47" t="e">
        <v>#N/A</v>
      </c>
      <c r="D47" t="s">
        <v>221</v>
      </c>
      <c r="E47" t="str">
        <f t="shared" si="0"/>
        <v>fire-station</v>
      </c>
      <c r="G47" s="3" t="s">
        <v>45</v>
      </c>
      <c r="H47" s="3" t="s">
        <v>241</v>
      </c>
    </row>
    <row r="48" spans="1:8" x14ac:dyDescent="0.3">
      <c r="A48" t="s">
        <v>46</v>
      </c>
      <c r="B48" t="e">
        <v>#N/A</v>
      </c>
      <c r="D48" t="s">
        <v>264</v>
      </c>
      <c r="E48" t="str">
        <f t="shared" si="0"/>
        <v>fitness-centre</v>
      </c>
      <c r="G48" s="3" t="s">
        <v>46</v>
      </c>
      <c r="H48" s="3" t="s">
        <v>214</v>
      </c>
    </row>
    <row r="49" spans="1:8" x14ac:dyDescent="0.3">
      <c r="A49" t="s">
        <v>47</v>
      </c>
      <c r="B49" t="e">
        <v>#N/A</v>
      </c>
      <c r="D49" t="s">
        <v>222</v>
      </c>
      <c r="E49" t="str">
        <f t="shared" si="0"/>
        <v>fuel</v>
      </c>
      <c r="G49" s="3" t="s">
        <v>47</v>
      </c>
      <c r="H49" s="3" t="s">
        <v>209</v>
      </c>
    </row>
    <row r="50" spans="1:8" x14ac:dyDescent="0.3">
      <c r="A50" t="s">
        <v>48</v>
      </c>
      <c r="B50" t="e">
        <v>#N/A</v>
      </c>
      <c r="D50" t="s">
        <v>265</v>
      </c>
      <c r="E50" t="str">
        <f t="shared" si="0"/>
        <v>furniture</v>
      </c>
      <c r="G50" s="3" t="s">
        <v>48</v>
      </c>
      <c r="H50" s="3" t="s">
        <v>241</v>
      </c>
    </row>
    <row r="51" spans="1:8" x14ac:dyDescent="0.3">
      <c r="A51" t="s">
        <v>49</v>
      </c>
      <c r="B51" t="e">
        <v>#N/A</v>
      </c>
      <c r="D51" t="s">
        <v>84</v>
      </c>
      <c r="E51" t="str">
        <f t="shared" si="0"/>
        <v>garden</v>
      </c>
      <c r="G51" s="3" t="s">
        <v>49</v>
      </c>
      <c r="H51" s="3" t="s">
        <v>229</v>
      </c>
    </row>
    <row r="52" spans="1:8" x14ac:dyDescent="0.3">
      <c r="A52" t="s">
        <v>50</v>
      </c>
      <c r="B52" t="e">
        <v>#N/A</v>
      </c>
      <c r="D52" t="s">
        <v>266</v>
      </c>
      <c r="E52" t="str">
        <f t="shared" si="0"/>
        <v>globe</v>
      </c>
      <c r="G52" s="3" t="s">
        <v>50</v>
      </c>
      <c r="H52" s="3" t="s">
        <v>116</v>
      </c>
    </row>
    <row r="53" spans="1:8" x14ac:dyDescent="0.3">
      <c r="A53" t="s">
        <v>51</v>
      </c>
      <c r="B53" t="s">
        <v>51</v>
      </c>
      <c r="D53" t="s">
        <v>223</v>
      </c>
      <c r="E53" t="str">
        <f t="shared" si="0"/>
        <v>golf</v>
      </c>
      <c r="G53" s="3" t="s">
        <v>51</v>
      </c>
      <c r="H53" s="3" t="s">
        <v>51</v>
      </c>
    </row>
    <row r="54" spans="1:8" x14ac:dyDescent="0.3">
      <c r="A54" t="s">
        <v>52</v>
      </c>
      <c r="B54" t="e">
        <v>#N/A</v>
      </c>
      <c r="D54" t="s">
        <v>224</v>
      </c>
      <c r="E54" t="str">
        <f t="shared" si="0"/>
        <v>grocery</v>
      </c>
      <c r="G54" s="3" t="s">
        <v>52</v>
      </c>
      <c r="H54" s="3" t="s">
        <v>301</v>
      </c>
    </row>
    <row r="55" spans="1:8" x14ac:dyDescent="0.3">
      <c r="A55" t="s">
        <v>53</v>
      </c>
      <c r="B55" t="e">
        <v>#N/A</v>
      </c>
      <c r="D55" t="s">
        <v>225</v>
      </c>
      <c r="E55" t="str">
        <f t="shared" si="0"/>
        <v>harbor</v>
      </c>
      <c r="G55" s="3" t="s">
        <v>53</v>
      </c>
      <c r="H55" s="3" t="s">
        <v>241</v>
      </c>
    </row>
    <row r="56" spans="1:8" x14ac:dyDescent="0.3">
      <c r="A56" t="s">
        <v>54</v>
      </c>
      <c r="B56" t="e">
        <v>#N/A</v>
      </c>
      <c r="D56" t="s">
        <v>267</v>
      </c>
      <c r="E56" t="str">
        <f t="shared" si="0"/>
        <v>hardware</v>
      </c>
      <c r="G56" s="3" t="s">
        <v>54</v>
      </c>
      <c r="H56" s="3" t="s">
        <v>26</v>
      </c>
    </row>
    <row r="57" spans="1:8" x14ac:dyDescent="0.3">
      <c r="A57" t="s">
        <v>55</v>
      </c>
      <c r="B57" t="e">
        <v>#N/A</v>
      </c>
      <c r="D57" t="s">
        <v>268</v>
      </c>
      <c r="E57" t="str">
        <f t="shared" si="0"/>
        <v>horse-riding</v>
      </c>
      <c r="G57" s="3" t="s">
        <v>55</v>
      </c>
      <c r="H57" s="3" t="s">
        <v>116</v>
      </c>
    </row>
    <row r="58" spans="1:8" ht="28.8" x14ac:dyDescent="0.3">
      <c r="A58" t="s">
        <v>56</v>
      </c>
      <c r="B58" t="e">
        <v>#N/A</v>
      </c>
      <c r="D58" t="s">
        <v>101</v>
      </c>
      <c r="E58" t="str">
        <f t="shared" si="0"/>
        <v>hospital</v>
      </c>
      <c r="G58" s="3" t="s">
        <v>56</v>
      </c>
      <c r="H58" s="3" t="s">
        <v>302</v>
      </c>
    </row>
    <row r="59" spans="1:8" x14ac:dyDescent="0.3">
      <c r="A59" t="s">
        <v>57</v>
      </c>
      <c r="B59" t="e">
        <v>#N/A</v>
      </c>
      <c r="D59" t="s">
        <v>226</v>
      </c>
      <c r="E59" t="str">
        <f t="shared" si="0"/>
        <v>ice-cream</v>
      </c>
      <c r="G59" s="3" t="s">
        <v>57</v>
      </c>
      <c r="H59" s="3" t="s">
        <v>241</v>
      </c>
    </row>
    <row r="60" spans="1:8" x14ac:dyDescent="0.3">
      <c r="A60" t="s">
        <v>58</v>
      </c>
      <c r="B60" t="e">
        <v>#N/A</v>
      </c>
      <c r="D60" t="s">
        <v>227</v>
      </c>
      <c r="E60" t="str">
        <f t="shared" si="0"/>
        <v>information</v>
      </c>
      <c r="G60" s="3" t="s">
        <v>58</v>
      </c>
      <c r="H60" s="3" t="s">
        <v>126</v>
      </c>
    </row>
    <row r="61" spans="1:8" x14ac:dyDescent="0.3">
      <c r="A61" t="s">
        <v>59</v>
      </c>
      <c r="B61" t="e">
        <v>#N/A</v>
      </c>
      <c r="D61" t="s">
        <v>269</v>
      </c>
      <c r="E61" t="str">
        <f t="shared" si="0"/>
        <v>jewelry-store</v>
      </c>
      <c r="G61" s="3" t="s">
        <v>59</v>
      </c>
      <c r="H61" s="3" t="s">
        <v>121</v>
      </c>
    </row>
    <row r="62" spans="1:8" x14ac:dyDescent="0.3">
      <c r="A62" t="s">
        <v>60</v>
      </c>
      <c r="B62" t="e">
        <v>#N/A</v>
      </c>
      <c r="D62" t="s">
        <v>228</v>
      </c>
      <c r="E62" t="str">
        <f t="shared" si="0"/>
        <v>laundry</v>
      </c>
      <c r="G62" s="3" t="s">
        <v>60</v>
      </c>
      <c r="H62" s="3" t="s">
        <v>208</v>
      </c>
    </row>
    <row r="63" spans="1:8" x14ac:dyDescent="0.3">
      <c r="A63" t="s">
        <v>61</v>
      </c>
      <c r="B63" t="e">
        <v>#N/A</v>
      </c>
      <c r="D63" t="s">
        <v>112</v>
      </c>
      <c r="E63" t="str">
        <f t="shared" si="0"/>
        <v>library</v>
      </c>
      <c r="G63" s="3" t="s">
        <v>61</v>
      </c>
      <c r="H63" s="3" t="s">
        <v>236</v>
      </c>
    </row>
    <row r="64" spans="1:8" x14ac:dyDescent="0.3">
      <c r="A64" t="s">
        <v>62</v>
      </c>
      <c r="B64" t="e">
        <v>#N/A</v>
      </c>
      <c r="D64" t="s">
        <v>116</v>
      </c>
      <c r="E64" t="str">
        <f t="shared" si="0"/>
        <v>lodging</v>
      </c>
      <c r="G64" s="3" t="s">
        <v>62</v>
      </c>
      <c r="H64" s="3" t="s">
        <v>216</v>
      </c>
    </row>
    <row r="65" spans="1:8" x14ac:dyDescent="0.3">
      <c r="A65" t="s">
        <v>63</v>
      </c>
      <c r="B65" t="e">
        <v>#N/A</v>
      </c>
      <c r="D65" t="s">
        <v>199</v>
      </c>
      <c r="E65" t="str">
        <f t="shared" si="0"/>
        <v>marker</v>
      </c>
      <c r="G65" s="3" t="s">
        <v>63</v>
      </c>
      <c r="H65" s="3" t="s">
        <v>237</v>
      </c>
    </row>
    <row r="66" spans="1:8" x14ac:dyDescent="0.3">
      <c r="A66" t="s">
        <v>64</v>
      </c>
      <c r="B66" t="e">
        <v>#N/A</v>
      </c>
      <c r="D66" t="s">
        <v>270</v>
      </c>
      <c r="E66" t="str">
        <f t="shared" si="0"/>
        <v>mobile-phone</v>
      </c>
      <c r="G66" s="3" t="s">
        <v>64</v>
      </c>
      <c r="H66" s="3" t="s">
        <v>51</v>
      </c>
    </row>
    <row r="67" spans="1:8" x14ac:dyDescent="0.3">
      <c r="A67" t="s">
        <v>65</v>
      </c>
      <c r="B67" t="e">
        <v>#N/A</v>
      </c>
      <c r="D67" t="s">
        <v>121</v>
      </c>
      <c r="E67" t="str">
        <f t="shared" ref="E67:E117" si="2">TRIM(D67)</f>
        <v>monument</v>
      </c>
      <c r="G67" s="3" t="s">
        <v>65</v>
      </c>
      <c r="H67" s="3" t="s">
        <v>14</v>
      </c>
    </row>
    <row r="68" spans="1:8" x14ac:dyDescent="0.3">
      <c r="A68" t="s">
        <v>66</v>
      </c>
      <c r="B68" t="e">
        <v>#N/A</v>
      </c>
      <c r="D68" t="s">
        <v>126</v>
      </c>
      <c r="E68" t="str">
        <f t="shared" si="2"/>
        <v>museum</v>
      </c>
      <c r="G68" s="3" t="s">
        <v>66</v>
      </c>
      <c r="H68" s="3" t="s">
        <v>134</v>
      </c>
    </row>
    <row r="69" spans="1:8" x14ac:dyDescent="0.3">
      <c r="A69" t="s">
        <v>67</v>
      </c>
      <c r="B69" t="e">
        <v>#N/A</v>
      </c>
      <c r="D69" t="s">
        <v>229</v>
      </c>
      <c r="E69" t="str">
        <f t="shared" si="2"/>
        <v>music</v>
      </c>
      <c r="G69" s="3" t="s">
        <v>67</v>
      </c>
      <c r="H69" s="3" t="s">
        <v>303</v>
      </c>
    </row>
    <row r="70" spans="1:8" x14ac:dyDescent="0.3">
      <c r="A70" t="s">
        <v>68</v>
      </c>
      <c r="B70" t="e">
        <v>#N/A</v>
      </c>
      <c r="D70" t="s">
        <v>271</v>
      </c>
      <c r="E70" t="str">
        <f t="shared" si="2"/>
        <v>optician</v>
      </c>
      <c r="G70" s="3" t="s">
        <v>68</v>
      </c>
      <c r="H70" s="3" t="s">
        <v>237</v>
      </c>
    </row>
    <row r="71" spans="1:8" x14ac:dyDescent="0.3">
      <c r="A71" t="s">
        <v>69</v>
      </c>
      <c r="B71" t="s">
        <v>69</v>
      </c>
      <c r="D71" t="s">
        <v>129</v>
      </c>
      <c r="E71" t="str">
        <f t="shared" si="2"/>
        <v>park</v>
      </c>
      <c r="G71" s="3" t="s">
        <v>69</v>
      </c>
      <c r="H71" s="3" t="s">
        <v>69</v>
      </c>
    </row>
    <row r="72" spans="1:8" x14ac:dyDescent="0.3">
      <c r="A72" t="s">
        <v>70</v>
      </c>
      <c r="B72" t="e">
        <v>#N/A</v>
      </c>
      <c r="D72" t="s">
        <v>272</v>
      </c>
      <c r="E72" t="str">
        <f t="shared" si="2"/>
        <v>parking</v>
      </c>
      <c r="G72" s="3" t="s">
        <v>70</v>
      </c>
      <c r="H72" s="3" t="s">
        <v>239</v>
      </c>
    </row>
    <row r="73" spans="1:8" x14ac:dyDescent="0.3">
      <c r="A73" t="s">
        <v>71</v>
      </c>
      <c r="B73" t="s">
        <v>71</v>
      </c>
      <c r="D73" t="s">
        <v>273</v>
      </c>
      <c r="E73" t="str">
        <f t="shared" si="2"/>
        <v>parking-garage</v>
      </c>
      <c r="G73" s="3" t="s">
        <v>71</v>
      </c>
      <c r="H73" s="3" t="s">
        <v>71</v>
      </c>
    </row>
    <row r="74" spans="1:8" x14ac:dyDescent="0.3">
      <c r="A74" t="s">
        <v>72</v>
      </c>
      <c r="B74" t="e">
        <v>#N/A</v>
      </c>
      <c r="D74" t="s">
        <v>134</v>
      </c>
      <c r="E74" t="str">
        <f t="shared" si="2"/>
        <v>pharmacy</v>
      </c>
      <c r="G74" s="3" t="s">
        <v>72</v>
      </c>
      <c r="H74" s="3" t="s">
        <v>116</v>
      </c>
    </row>
    <row r="75" spans="1:8" x14ac:dyDescent="0.3">
      <c r="A75" t="s">
        <v>73</v>
      </c>
      <c r="B75" t="e">
        <v>#N/A</v>
      </c>
      <c r="D75" t="s">
        <v>230</v>
      </c>
      <c r="E75" t="str">
        <f t="shared" si="2"/>
        <v>picnic-site</v>
      </c>
      <c r="G75" s="3" t="s">
        <v>73</v>
      </c>
      <c r="H75" s="3" t="s">
        <v>220</v>
      </c>
    </row>
    <row r="76" spans="1:8" x14ac:dyDescent="0.3">
      <c r="A76" t="s">
        <v>74</v>
      </c>
      <c r="B76" t="e">
        <v>#N/A</v>
      </c>
      <c r="D76" t="s">
        <v>274</v>
      </c>
      <c r="E76" t="str">
        <f t="shared" si="2"/>
        <v>pitch</v>
      </c>
      <c r="G76" s="3" t="s">
        <v>74</v>
      </c>
      <c r="H76" s="3" t="s">
        <v>245</v>
      </c>
    </row>
    <row r="77" spans="1:8" x14ac:dyDescent="0.3">
      <c r="A77" t="s">
        <v>75</v>
      </c>
      <c r="B77" t="e">
        <v>#N/A</v>
      </c>
      <c r="D77" t="s">
        <v>231</v>
      </c>
      <c r="E77" t="str">
        <f t="shared" si="2"/>
        <v>place-of-worship</v>
      </c>
      <c r="G77" s="3" t="s">
        <v>75</v>
      </c>
      <c r="H77" s="3" t="s">
        <v>236</v>
      </c>
    </row>
    <row r="78" spans="1:8" x14ac:dyDescent="0.3">
      <c r="A78" t="s">
        <v>76</v>
      </c>
      <c r="B78" t="e">
        <v>#N/A</v>
      </c>
      <c r="D78" t="s">
        <v>137</v>
      </c>
      <c r="E78" t="str">
        <f t="shared" si="2"/>
        <v>playground</v>
      </c>
      <c r="G78" s="3" t="s">
        <v>76</v>
      </c>
      <c r="H78" s="3" t="s">
        <v>221</v>
      </c>
    </row>
    <row r="79" spans="1:8" x14ac:dyDescent="0.3">
      <c r="A79" t="s">
        <v>77</v>
      </c>
      <c r="B79" t="e">
        <v>#N/A</v>
      </c>
      <c r="D79" t="s">
        <v>139</v>
      </c>
      <c r="E79" t="str">
        <f t="shared" si="2"/>
        <v>police</v>
      </c>
      <c r="G79" s="3" t="s">
        <v>77</v>
      </c>
      <c r="H79" s="3" t="s">
        <v>225</v>
      </c>
    </row>
    <row r="80" spans="1:8" x14ac:dyDescent="0.3">
      <c r="A80" t="s">
        <v>78</v>
      </c>
      <c r="B80" t="e">
        <v>#N/A</v>
      </c>
      <c r="D80" t="s">
        <v>232</v>
      </c>
      <c r="E80" t="str">
        <f t="shared" si="2"/>
        <v>post</v>
      </c>
      <c r="G80" s="3" t="s">
        <v>78</v>
      </c>
      <c r="H80" s="3" t="s">
        <v>129</v>
      </c>
    </row>
    <row r="81" spans="1:8" x14ac:dyDescent="0.3">
      <c r="A81" t="s">
        <v>79</v>
      </c>
      <c r="B81" t="e">
        <v>#N/A</v>
      </c>
      <c r="D81" t="s">
        <v>143</v>
      </c>
      <c r="E81" t="str">
        <f t="shared" si="2"/>
        <v>prison</v>
      </c>
      <c r="G81" s="3" t="s">
        <v>79</v>
      </c>
      <c r="H81" s="3" t="s">
        <v>304</v>
      </c>
    </row>
    <row r="82" spans="1:8" x14ac:dyDescent="0.3">
      <c r="A82" t="s">
        <v>80</v>
      </c>
      <c r="B82" t="e">
        <v>#N/A</v>
      </c>
      <c r="D82" t="s">
        <v>275</v>
      </c>
      <c r="E82" t="str">
        <f t="shared" si="2"/>
        <v>ranger-station</v>
      </c>
      <c r="G82" s="3" t="s">
        <v>80</v>
      </c>
      <c r="H82" s="3" t="s">
        <v>236</v>
      </c>
    </row>
    <row r="83" spans="1:8" x14ac:dyDescent="0.3">
      <c r="A83" t="s">
        <v>81</v>
      </c>
      <c r="B83" t="e">
        <v>#N/A</v>
      </c>
      <c r="D83" t="s">
        <v>276</v>
      </c>
      <c r="E83" t="str">
        <f t="shared" si="2"/>
        <v>religious-buddhist</v>
      </c>
      <c r="G83" s="3" t="s">
        <v>81</v>
      </c>
      <c r="H83" s="3" t="s">
        <v>236</v>
      </c>
    </row>
    <row r="84" spans="1:8" x14ac:dyDescent="0.3">
      <c r="A84" t="s">
        <v>82</v>
      </c>
      <c r="B84" t="e">
        <v>#N/A</v>
      </c>
      <c r="D84" t="s">
        <v>233</v>
      </c>
      <c r="E84" t="str">
        <f t="shared" si="2"/>
        <v>religious-christian</v>
      </c>
      <c r="G84" s="3" t="s">
        <v>82</v>
      </c>
      <c r="H84" s="3" t="s">
        <v>224</v>
      </c>
    </row>
    <row r="85" spans="1:8" x14ac:dyDescent="0.3">
      <c r="A85" t="s">
        <v>83</v>
      </c>
      <c r="B85" t="e">
        <v>#N/A</v>
      </c>
      <c r="D85" t="s">
        <v>234</v>
      </c>
      <c r="E85" t="str">
        <f t="shared" si="2"/>
        <v>religious-jewish</v>
      </c>
      <c r="G85" s="3" t="s">
        <v>83</v>
      </c>
      <c r="H85" s="3" t="s">
        <v>305</v>
      </c>
    </row>
    <row r="86" spans="1:8" x14ac:dyDescent="0.3">
      <c r="A86" t="s">
        <v>84</v>
      </c>
      <c r="B86" t="s">
        <v>84</v>
      </c>
      <c r="D86" t="s">
        <v>235</v>
      </c>
      <c r="E86" t="str">
        <f t="shared" si="2"/>
        <v>religious-muslim</v>
      </c>
      <c r="G86" s="3" t="s">
        <v>84</v>
      </c>
      <c r="H86" s="3" t="s">
        <v>84</v>
      </c>
    </row>
    <row r="87" spans="1:8" x14ac:dyDescent="0.3">
      <c r="A87" t="s">
        <v>85</v>
      </c>
      <c r="B87" t="e">
        <v>#N/A</v>
      </c>
      <c r="D87" t="s">
        <v>236</v>
      </c>
      <c r="E87" t="str">
        <f t="shared" si="2"/>
        <v>restaurant</v>
      </c>
      <c r="G87" s="3" t="s">
        <v>85</v>
      </c>
      <c r="H87" s="3" t="s">
        <v>222</v>
      </c>
    </row>
    <row r="88" spans="1:8" x14ac:dyDescent="0.3">
      <c r="A88" t="s">
        <v>86</v>
      </c>
      <c r="B88" t="e">
        <v>#N/A</v>
      </c>
      <c r="D88" t="s">
        <v>277</v>
      </c>
      <c r="E88" t="str">
        <f t="shared" si="2"/>
        <v>restaurant-noodle</v>
      </c>
      <c r="G88" s="3" t="s">
        <v>86</v>
      </c>
      <c r="H88" s="3" t="s">
        <v>237</v>
      </c>
    </row>
    <row r="89" spans="1:8" x14ac:dyDescent="0.3">
      <c r="A89" t="s">
        <v>87</v>
      </c>
      <c r="B89" t="e">
        <v>#N/A</v>
      </c>
      <c r="D89" t="s">
        <v>278</v>
      </c>
      <c r="E89" t="str">
        <f t="shared" si="2"/>
        <v>restaurant-pizza</v>
      </c>
      <c r="G89" s="3" t="s">
        <v>87</v>
      </c>
      <c r="H89" s="3" t="s">
        <v>223</v>
      </c>
    </row>
    <row r="90" spans="1:8" x14ac:dyDescent="0.3">
      <c r="A90" t="s">
        <v>88</v>
      </c>
      <c r="B90" t="e">
        <v>#N/A</v>
      </c>
      <c r="D90" t="s">
        <v>279</v>
      </c>
      <c r="E90" t="str">
        <f t="shared" si="2"/>
        <v>restaurant-seafood</v>
      </c>
      <c r="G90" s="3" t="s">
        <v>88</v>
      </c>
      <c r="H90" s="3" t="s">
        <v>241</v>
      </c>
    </row>
    <row r="91" spans="1:8" x14ac:dyDescent="0.3">
      <c r="A91" t="s">
        <v>89</v>
      </c>
      <c r="B91" t="e">
        <v>#N/A</v>
      </c>
      <c r="D91" t="s">
        <v>153</v>
      </c>
      <c r="E91" t="str">
        <f t="shared" si="2"/>
        <v>school</v>
      </c>
      <c r="G91" s="3" t="s">
        <v>89</v>
      </c>
      <c r="H91" s="3" t="s">
        <v>224</v>
      </c>
    </row>
    <row r="92" spans="1:8" x14ac:dyDescent="0.3">
      <c r="A92" t="s">
        <v>90</v>
      </c>
      <c r="B92" t="e">
        <v>#N/A</v>
      </c>
      <c r="D92" t="s">
        <v>280</v>
      </c>
      <c r="E92" t="str">
        <f t="shared" si="2"/>
        <v>shoe</v>
      </c>
      <c r="G92" s="3" t="s">
        <v>90</v>
      </c>
      <c r="H92" s="3" t="s">
        <v>116</v>
      </c>
    </row>
    <row r="93" spans="1:8" x14ac:dyDescent="0.3">
      <c r="A93" t="s">
        <v>91</v>
      </c>
      <c r="B93" t="e">
        <v>#N/A</v>
      </c>
      <c r="D93" t="s">
        <v>237</v>
      </c>
      <c r="E93" t="str">
        <f t="shared" si="2"/>
        <v>shop</v>
      </c>
      <c r="G93" s="3" t="s">
        <v>91</v>
      </c>
      <c r="H93" s="3" t="s">
        <v>304</v>
      </c>
    </row>
    <row r="94" spans="1:8" x14ac:dyDescent="0.3">
      <c r="A94" t="s">
        <v>92</v>
      </c>
      <c r="B94" t="e">
        <v>#N/A</v>
      </c>
      <c r="D94" t="s">
        <v>281</v>
      </c>
      <c r="E94" t="str">
        <f t="shared" si="2"/>
        <v>skateboard</v>
      </c>
      <c r="G94" s="3" t="s">
        <v>92</v>
      </c>
      <c r="H94" s="3" t="s">
        <v>237</v>
      </c>
    </row>
    <row r="95" spans="1:8" x14ac:dyDescent="0.3">
      <c r="A95" t="s">
        <v>93</v>
      </c>
      <c r="B95" t="e">
        <v>#N/A</v>
      </c>
      <c r="D95" t="s">
        <v>282</v>
      </c>
      <c r="E95" t="str">
        <f t="shared" si="2"/>
        <v>slipway</v>
      </c>
      <c r="G95" s="3" t="s">
        <v>93</v>
      </c>
      <c r="H95" s="3" t="s">
        <v>306</v>
      </c>
    </row>
    <row r="96" spans="1:8" x14ac:dyDescent="0.3">
      <c r="A96" t="s">
        <v>94</v>
      </c>
      <c r="B96" t="s">
        <v>94</v>
      </c>
      <c r="D96" t="s">
        <v>167</v>
      </c>
      <c r="E96" t="str">
        <f t="shared" si="2"/>
        <v>stadium</v>
      </c>
      <c r="G96" s="3" t="s">
        <v>94</v>
      </c>
      <c r="H96" s="3" t="s">
        <v>94</v>
      </c>
    </row>
    <row r="97" spans="1:8" x14ac:dyDescent="0.3">
      <c r="A97" t="s">
        <v>95</v>
      </c>
      <c r="B97" t="e">
        <v>#N/A</v>
      </c>
      <c r="D97" t="s">
        <v>283</v>
      </c>
      <c r="E97" t="str">
        <f t="shared" si="2"/>
        <v>suitcase</v>
      </c>
      <c r="G97" s="3" t="s">
        <v>95</v>
      </c>
      <c r="H97" s="3" t="s">
        <v>129</v>
      </c>
    </row>
    <row r="98" spans="1:8" x14ac:dyDescent="0.3">
      <c r="A98" t="s">
        <v>96</v>
      </c>
      <c r="B98" t="e">
        <v>#N/A</v>
      </c>
      <c r="D98" t="s">
        <v>238</v>
      </c>
      <c r="E98" t="str">
        <f t="shared" si="2"/>
        <v>swimming</v>
      </c>
      <c r="G98" s="3" t="s">
        <v>96</v>
      </c>
      <c r="H98" s="3" t="s">
        <v>231</v>
      </c>
    </row>
    <row r="99" spans="1:8" x14ac:dyDescent="0.3">
      <c r="A99" t="s">
        <v>97</v>
      </c>
      <c r="B99" t="e">
        <v>#N/A</v>
      </c>
      <c r="D99" t="s">
        <v>284</v>
      </c>
      <c r="E99" t="str">
        <f t="shared" si="2"/>
        <v>table-tennis</v>
      </c>
      <c r="G99" s="3" t="s">
        <v>97</v>
      </c>
      <c r="H99" s="3" t="s">
        <v>121</v>
      </c>
    </row>
    <row r="100" spans="1:8" x14ac:dyDescent="0.3">
      <c r="A100" t="s">
        <v>98</v>
      </c>
      <c r="B100" t="e">
        <v>#N/A</v>
      </c>
      <c r="D100" t="s">
        <v>285</v>
      </c>
      <c r="E100" t="str">
        <f t="shared" si="2"/>
        <v>tennis</v>
      </c>
      <c r="G100" s="3" t="s">
        <v>98</v>
      </c>
      <c r="H100" s="3" t="s">
        <v>121</v>
      </c>
    </row>
    <row r="101" spans="1:8" x14ac:dyDescent="0.3">
      <c r="A101" t="s">
        <v>99</v>
      </c>
      <c r="B101" t="e">
        <v>#N/A</v>
      </c>
      <c r="D101" t="s">
        <v>239</v>
      </c>
      <c r="E101" t="str">
        <f t="shared" si="2"/>
        <v>theatre</v>
      </c>
      <c r="G101" s="3" t="s">
        <v>99</v>
      </c>
      <c r="H101" s="3" t="s">
        <v>305</v>
      </c>
    </row>
    <row r="102" spans="1:8" x14ac:dyDescent="0.3">
      <c r="A102" t="s">
        <v>100</v>
      </c>
      <c r="B102" t="e">
        <v>#N/A</v>
      </c>
      <c r="D102" t="s">
        <v>240</v>
      </c>
      <c r="E102" t="str">
        <f t="shared" si="2"/>
        <v>toilet</v>
      </c>
      <c r="G102" s="3" t="s">
        <v>100</v>
      </c>
      <c r="H102" s="3" t="s">
        <v>306</v>
      </c>
    </row>
    <row r="103" spans="1:8" x14ac:dyDescent="0.3">
      <c r="A103" t="s">
        <v>101</v>
      </c>
      <c r="B103" t="s">
        <v>101</v>
      </c>
      <c r="D103" t="s">
        <v>241</v>
      </c>
      <c r="E103" t="str">
        <f t="shared" si="2"/>
        <v>town-hall</v>
      </c>
      <c r="G103" s="3" t="s">
        <v>101</v>
      </c>
      <c r="H103" s="3" t="s">
        <v>101</v>
      </c>
    </row>
    <row r="104" spans="1:8" x14ac:dyDescent="0.3">
      <c r="A104" t="s">
        <v>102</v>
      </c>
      <c r="B104" t="e">
        <v>#N/A</v>
      </c>
      <c r="D104" t="s">
        <v>242</v>
      </c>
      <c r="E104" t="str">
        <f t="shared" si="2"/>
        <v>veterinary</v>
      </c>
      <c r="G104" s="3" t="s">
        <v>102</v>
      </c>
      <c r="H104" s="3" t="s">
        <v>116</v>
      </c>
    </row>
    <row r="105" spans="1:8" x14ac:dyDescent="0.3">
      <c r="A105" t="s">
        <v>103</v>
      </c>
      <c r="B105" t="e">
        <v>#N/A</v>
      </c>
      <c r="D105" t="s">
        <v>286</v>
      </c>
      <c r="E105" t="str">
        <f t="shared" si="2"/>
        <v>viewpoint</v>
      </c>
      <c r="G105" s="3" t="s">
        <v>103</v>
      </c>
      <c r="H105" s="3" t="s">
        <v>226</v>
      </c>
    </row>
    <row r="106" spans="1:8" x14ac:dyDescent="0.3">
      <c r="A106" t="s">
        <v>104</v>
      </c>
      <c r="B106" t="e">
        <v>#N/A</v>
      </c>
      <c r="D106" t="s">
        <v>287</v>
      </c>
      <c r="E106" t="str">
        <f t="shared" si="2"/>
        <v>volleyball</v>
      </c>
      <c r="G106" s="3" t="s">
        <v>104</v>
      </c>
      <c r="H106" s="3" t="s">
        <v>129</v>
      </c>
    </row>
    <row r="107" spans="1:8" x14ac:dyDescent="0.3">
      <c r="A107" t="s">
        <v>105</v>
      </c>
      <c r="B107" t="e">
        <v>#N/A</v>
      </c>
      <c r="D107" t="s">
        <v>288</v>
      </c>
      <c r="E107" t="str">
        <f t="shared" si="2"/>
        <v>watch</v>
      </c>
      <c r="G107" s="3" t="s">
        <v>105</v>
      </c>
      <c r="H107" s="3" t="s">
        <v>236</v>
      </c>
    </row>
    <row r="108" spans="1:8" x14ac:dyDescent="0.3">
      <c r="A108" t="s">
        <v>106</v>
      </c>
      <c r="B108" t="e">
        <v>#N/A</v>
      </c>
      <c r="D108" t="s">
        <v>289</v>
      </c>
      <c r="E108" t="str">
        <f t="shared" si="2"/>
        <v>watermill</v>
      </c>
      <c r="G108" s="3" t="s">
        <v>106</v>
      </c>
      <c r="H108" s="3" t="s">
        <v>116</v>
      </c>
    </row>
    <row r="109" spans="1:8" x14ac:dyDescent="0.3">
      <c r="A109" t="s">
        <v>107</v>
      </c>
      <c r="B109" t="e">
        <v>#N/A</v>
      </c>
      <c r="D109" t="s">
        <v>290</v>
      </c>
      <c r="E109" t="str">
        <f t="shared" si="2"/>
        <v>windmill</v>
      </c>
      <c r="G109" s="3" t="s">
        <v>107</v>
      </c>
      <c r="H109" s="3" t="s">
        <v>228</v>
      </c>
    </row>
    <row r="110" spans="1:8" x14ac:dyDescent="0.3">
      <c r="A110" t="s">
        <v>108</v>
      </c>
      <c r="B110" t="e">
        <v>#N/A</v>
      </c>
      <c r="D110" t="s">
        <v>196</v>
      </c>
      <c r="E110" t="str">
        <f t="shared" si="2"/>
        <v>zoo</v>
      </c>
      <c r="G110" s="3" t="s">
        <v>108</v>
      </c>
      <c r="H110" s="3" t="s">
        <v>4</v>
      </c>
    </row>
    <row r="111" spans="1:8" x14ac:dyDescent="0.3">
      <c r="A111" t="s">
        <v>109</v>
      </c>
      <c r="B111" t="e">
        <v>#N/A</v>
      </c>
      <c r="D111" t="s">
        <v>243</v>
      </c>
      <c r="E111" t="str">
        <f t="shared" si="2"/>
        <v>bicycle-share</v>
      </c>
      <c r="G111" s="3" t="s">
        <v>109</v>
      </c>
      <c r="H111" s="3" t="s">
        <v>209</v>
      </c>
    </row>
    <row r="112" spans="1:8" x14ac:dyDescent="0.3">
      <c r="A112" t="s">
        <v>110</v>
      </c>
      <c r="B112" t="e">
        <v>#N/A</v>
      </c>
      <c r="D112" t="s">
        <v>244</v>
      </c>
      <c r="E112" t="str">
        <f t="shared" si="2"/>
        <v>bus</v>
      </c>
      <c r="G112" s="3" t="s">
        <v>110</v>
      </c>
      <c r="H112" s="3" t="s">
        <v>307</v>
      </c>
    </row>
    <row r="113" spans="1:8" x14ac:dyDescent="0.3">
      <c r="A113" t="s">
        <v>111</v>
      </c>
      <c r="B113" t="e">
        <v>#N/A</v>
      </c>
      <c r="D113" t="s">
        <v>245</v>
      </c>
      <c r="E113" t="str">
        <f t="shared" si="2"/>
        <v>ferry</v>
      </c>
      <c r="G113" s="3" t="s">
        <v>111</v>
      </c>
      <c r="H113" s="3" t="s">
        <v>209</v>
      </c>
    </row>
    <row r="114" spans="1:8" x14ac:dyDescent="0.3">
      <c r="A114" t="s">
        <v>112</v>
      </c>
      <c r="B114" t="s">
        <v>112</v>
      </c>
      <c r="D114" t="s">
        <v>246</v>
      </c>
      <c r="E114" t="str">
        <f t="shared" si="2"/>
        <v>rail</v>
      </c>
      <c r="G114" s="3" t="s">
        <v>112</v>
      </c>
      <c r="H114" s="3" t="s">
        <v>112</v>
      </c>
    </row>
    <row r="115" spans="1:8" x14ac:dyDescent="0.3">
      <c r="A115" t="s">
        <v>113</v>
      </c>
      <c r="B115" t="e">
        <v>#N/A</v>
      </c>
      <c r="D115" t="s">
        <v>247</v>
      </c>
      <c r="E115" t="str">
        <f t="shared" si="2"/>
        <v>rail-metro</v>
      </c>
      <c r="G115" s="3" t="s">
        <v>113</v>
      </c>
      <c r="H115" s="3" t="s">
        <v>248</v>
      </c>
    </row>
    <row r="116" spans="1:8" x14ac:dyDescent="0.3">
      <c r="A116" t="s">
        <v>114</v>
      </c>
      <c r="B116" t="e">
        <v>#N/A</v>
      </c>
      <c r="D116" t="s">
        <v>248</v>
      </c>
      <c r="E116" t="str">
        <f t="shared" si="2"/>
        <v>rail-light</v>
      </c>
      <c r="G116" s="3" t="s">
        <v>114</v>
      </c>
      <c r="H116" s="3" t="s">
        <v>202</v>
      </c>
    </row>
    <row r="117" spans="1:8" x14ac:dyDescent="0.3">
      <c r="A117" t="s">
        <v>115</v>
      </c>
      <c r="B117" t="e">
        <v>#N/A</v>
      </c>
      <c r="D117" t="s">
        <v>249</v>
      </c>
      <c r="E117" t="str">
        <f t="shared" si="2"/>
        <v>entrance</v>
      </c>
      <c r="G117" s="3" t="s">
        <v>115</v>
      </c>
      <c r="H117" s="3" t="s">
        <v>241</v>
      </c>
    </row>
    <row r="118" spans="1:8" x14ac:dyDescent="0.3">
      <c r="A118" t="s">
        <v>116</v>
      </c>
      <c r="B118" t="s">
        <v>116</v>
      </c>
      <c r="G118" s="3" t="s">
        <v>116</v>
      </c>
      <c r="H118" s="3" t="s">
        <v>116</v>
      </c>
    </row>
    <row r="119" spans="1:8" x14ac:dyDescent="0.3">
      <c r="A119" t="s">
        <v>117</v>
      </c>
      <c r="B119" t="e">
        <v>#N/A</v>
      </c>
      <c r="G119" s="3" t="s">
        <v>117</v>
      </c>
      <c r="H119" s="3" t="s">
        <v>224</v>
      </c>
    </row>
    <row r="120" spans="1:8" x14ac:dyDescent="0.3">
      <c r="A120" t="s">
        <v>118</v>
      </c>
      <c r="B120" t="e">
        <v>#N/A</v>
      </c>
      <c r="G120" s="3" t="s">
        <v>118</v>
      </c>
      <c r="H120" s="3" t="s">
        <v>236</v>
      </c>
    </row>
    <row r="121" spans="1:8" x14ac:dyDescent="0.3">
      <c r="A121" t="s">
        <v>119</v>
      </c>
      <c r="B121" t="e">
        <v>#N/A</v>
      </c>
      <c r="G121" s="3" t="s">
        <v>119</v>
      </c>
      <c r="H121" s="3" t="s">
        <v>220</v>
      </c>
    </row>
    <row r="122" spans="1:8" x14ac:dyDescent="0.3">
      <c r="A122" t="s">
        <v>120</v>
      </c>
      <c r="B122" t="e">
        <v>#N/A</v>
      </c>
      <c r="G122" s="3" t="s">
        <v>120</v>
      </c>
      <c r="H122" s="3" t="s">
        <v>217</v>
      </c>
    </row>
    <row r="123" spans="1:8" x14ac:dyDescent="0.3">
      <c r="A123" t="s">
        <v>121</v>
      </c>
      <c r="B123" t="s">
        <v>121</v>
      </c>
      <c r="G123" s="3" t="s">
        <v>121</v>
      </c>
      <c r="H123" s="3" t="s">
        <v>121</v>
      </c>
    </row>
    <row r="124" spans="1:8" x14ac:dyDescent="0.3">
      <c r="A124" t="s">
        <v>122</v>
      </c>
      <c r="B124" t="e">
        <v>#N/A</v>
      </c>
      <c r="G124" s="3" t="s">
        <v>122</v>
      </c>
      <c r="H124" s="3" t="s">
        <v>235</v>
      </c>
    </row>
    <row r="125" spans="1:8" x14ac:dyDescent="0.3">
      <c r="A125" t="s">
        <v>123</v>
      </c>
      <c r="B125" t="e">
        <v>#N/A</v>
      </c>
      <c r="G125" s="3" t="s">
        <v>123</v>
      </c>
      <c r="H125" s="3" t="s">
        <v>116</v>
      </c>
    </row>
    <row r="126" spans="1:8" x14ac:dyDescent="0.3">
      <c r="A126" t="s">
        <v>124</v>
      </c>
      <c r="B126" t="e">
        <v>#N/A</v>
      </c>
      <c r="G126" s="3" t="s">
        <v>124</v>
      </c>
      <c r="H126" s="3" t="s">
        <v>213</v>
      </c>
    </row>
    <row r="127" spans="1:8" x14ac:dyDescent="0.3">
      <c r="A127" t="s">
        <v>125</v>
      </c>
      <c r="B127" t="e">
        <v>#N/A</v>
      </c>
      <c r="G127" s="3" t="s">
        <v>125</v>
      </c>
      <c r="H127" s="3" t="s">
        <v>308</v>
      </c>
    </row>
    <row r="128" spans="1:8" x14ac:dyDescent="0.3">
      <c r="A128" t="s">
        <v>126</v>
      </c>
      <c r="B128" t="s">
        <v>126</v>
      </c>
      <c r="G128" s="3" t="s">
        <v>126</v>
      </c>
      <c r="H128" s="3" t="s">
        <v>126</v>
      </c>
    </row>
    <row r="129" spans="1:8" x14ac:dyDescent="0.3">
      <c r="A129" t="s">
        <v>127</v>
      </c>
      <c r="B129" t="e">
        <v>#N/A</v>
      </c>
      <c r="G129" s="3" t="s">
        <v>127</v>
      </c>
      <c r="H129" s="3" t="s">
        <v>129</v>
      </c>
    </row>
    <row r="130" spans="1:8" x14ac:dyDescent="0.3">
      <c r="A130" t="s">
        <v>128</v>
      </c>
      <c r="B130" t="e">
        <v>#N/A</v>
      </c>
      <c r="G130" s="3" t="s">
        <v>128</v>
      </c>
      <c r="H130" s="3" t="s">
        <v>16</v>
      </c>
    </row>
    <row r="131" spans="1:8" x14ac:dyDescent="0.3">
      <c r="A131" t="s">
        <v>129</v>
      </c>
      <c r="B131" t="s">
        <v>129</v>
      </c>
      <c r="G131" s="3" t="s">
        <v>129</v>
      </c>
      <c r="H131" s="3" t="s">
        <v>129</v>
      </c>
    </row>
    <row r="132" spans="1:8" x14ac:dyDescent="0.3">
      <c r="A132" t="s">
        <v>130</v>
      </c>
      <c r="B132" t="e">
        <v>#N/A</v>
      </c>
      <c r="G132" s="3" t="s">
        <v>130</v>
      </c>
      <c r="H132" s="3" t="s">
        <v>131</v>
      </c>
    </row>
    <row r="133" spans="1:8" x14ac:dyDescent="0.3">
      <c r="A133" t="s">
        <v>131</v>
      </c>
      <c r="B133" t="s">
        <v>131</v>
      </c>
      <c r="G133" s="3" t="s">
        <v>131</v>
      </c>
      <c r="H133" s="3" t="s">
        <v>131</v>
      </c>
    </row>
    <row r="134" spans="1:8" x14ac:dyDescent="0.3">
      <c r="A134" t="s">
        <v>132</v>
      </c>
      <c r="B134" t="e">
        <v>#N/A</v>
      </c>
      <c r="G134" s="3" t="s">
        <v>132</v>
      </c>
      <c r="H134" s="3" t="s">
        <v>239</v>
      </c>
    </row>
    <row r="135" spans="1:8" x14ac:dyDescent="0.3">
      <c r="A135" t="s">
        <v>133</v>
      </c>
      <c r="B135" t="e">
        <v>#N/A</v>
      </c>
      <c r="G135" s="3" t="s">
        <v>133</v>
      </c>
      <c r="H135" s="3" t="s">
        <v>237</v>
      </c>
    </row>
    <row r="136" spans="1:8" x14ac:dyDescent="0.3">
      <c r="A136" t="s">
        <v>134</v>
      </c>
      <c r="B136" t="s">
        <v>134</v>
      </c>
      <c r="G136" s="3" t="s">
        <v>134</v>
      </c>
      <c r="H136" s="3" t="s">
        <v>134</v>
      </c>
    </row>
    <row r="137" spans="1:8" x14ac:dyDescent="0.3">
      <c r="A137" t="s">
        <v>135</v>
      </c>
      <c r="B137" t="e">
        <v>#N/A</v>
      </c>
      <c r="G137" s="3" t="s">
        <v>135</v>
      </c>
      <c r="H137" s="3" t="s">
        <v>230</v>
      </c>
    </row>
    <row r="138" spans="1:8" x14ac:dyDescent="0.3">
      <c r="A138" t="s">
        <v>136</v>
      </c>
      <c r="B138" t="e">
        <v>#N/A</v>
      </c>
      <c r="G138" s="3" t="s">
        <v>136</v>
      </c>
      <c r="H138" s="3" t="s">
        <v>309</v>
      </c>
    </row>
    <row r="139" spans="1:8" x14ac:dyDescent="0.3">
      <c r="A139" t="s">
        <v>137</v>
      </c>
      <c r="B139" t="s">
        <v>137</v>
      </c>
      <c r="G139" s="3" t="s">
        <v>137</v>
      </c>
      <c r="H139" s="3" t="s">
        <v>137</v>
      </c>
    </row>
    <row r="140" spans="1:8" x14ac:dyDescent="0.3">
      <c r="A140" t="s">
        <v>138</v>
      </c>
      <c r="B140" t="e">
        <v>#N/A</v>
      </c>
      <c r="G140" s="3" t="s">
        <v>138</v>
      </c>
      <c r="H140" s="3" t="s">
        <v>129</v>
      </c>
    </row>
    <row r="141" spans="1:8" x14ac:dyDescent="0.3">
      <c r="A141" t="s">
        <v>139</v>
      </c>
      <c r="B141" t="s">
        <v>139</v>
      </c>
      <c r="G141" s="3" t="s">
        <v>139</v>
      </c>
      <c r="H141" s="3" t="s">
        <v>139</v>
      </c>
    </row>
    <row r="142" spans="1:8" x14ac:dyDescent="0.3">
      <c r="A142" t="s">
        <v>140</v>
      </c>
      <c r="B142" t="e">
        <v>#N/A</v>
      </c>
      <c r="G142" s="3" t="s">
        <v>140</v>
      </c>
      <c r="H142" s="3" t="s">
        <v>232</v>
      </c>
    </row>
    <row r="143" spans="1:8" x14ac:dyDescent="0.3">
      <c r="A143" t="s">
        <v>141</v>
      </c>
      <c r="B143" t="e">
        <v>#N/A</v>
      </c>
      <c r="G143" s="3" t="s">
        <v>141</v>
      </c>
      <c r="H143" s="3" t="s">
        <v>153</v>
      </c>
    </row>
    <row r="144" spans="1:8" x14ac:dyDescent="0.3">
      <c r="A144" t="s">
        <v>142</v>
      </c>
      <c r="B144" t="e">
        <v>#N/A</v>
      </c>
      <c r="G144" s="3" t="s">
        <v>142</v>
      </c>
      <c r="H144" s="3" t="s">
        <v>153</v>
      </c>
    </row>
    <row r="145" spans="1:8" x14ac:dyDescent="0.3">
      <c r="A145" t="s">
        <v>143</v>
      </c>
      <c r="B145" t="s">
        <v>143</v>
      </c>
      <c r="G145" s="3" t="s">
        <v>143</v>
      </c>
      <c r="H145" s="3" t="s">
        <v>143</v>
      </c>
    </row>
    <row r="146" spans="1:8" x14ac:dyDescent="0.3">
      <c r="A146" t="s">
        <v>144</v>
      </c>
      <c r="B146" t="e">
        <v>#N/A</v>
      </c>
      <c r="G146" s="3" t="s">
        <v>144</v>
      </c>
      <c r="H146" s="3" t="s">
        <v>116</v>
      </c>
    </row>
    <row r="147" spans="1:8" x14ac:dyDescent="0.3">
      <c r="A147" t="s">
        <v>145</v>
      </c>
      <c r="B147" t="e">
        <v>#N/A</v>
      </c>
      <c r="G147" s="3" t="s">
        <v>145</v>
      </c>
      <c r="H147" s="3" t="s">
        <v>16</v>
      </c>
    </row>
    <row r="148" spans="1:8" x14ac:dyDescent="0.3">
      <c r="A148" t="s">
        <v>146</v>
      </c>
      <c r="B148" t="e">
        <v>#N/A</v>
      </c>
      <c r="G148" s="3" t="s">
        <v>146</v>
      </c>
      <c r="H148" s="3" t="s">
        <v>238</v>
      </c>
    </row>
    <row r="149" spans="1:8" x14ac:dyDescent="0.3">
      <c r="A149" t="s">
        <v>147</v>
      </c>
      <c r="B149" t="e">
        <v>#N/A</v>
      </c>
      <c r="G149" s="3" t="s">
        <v>147</v>
      </c>
      <c r="H149" s="3" t="s">
        <v>240</v>
      </c>
    </row>
    <row r="150" spans="1:8" x14ac:dyDescent="0.3">
      <c r="A150" t="s">
        <v>148</v>
      </c>
      <c r="B150" t="e">
        <v>#N/A</v>
      </c>
      <c r="G150" s="3" t="s">
        <v>148</v>
      </c>
      <c r="H150" s="3" t="s">
        <v>26</v>
      </c>
    </row>
    <row r="151" spans="1:8" x14ac:dyDescent="0.3">
      <c r="A151" t="s">
        <v>149</v>
      </c>
      <c r="B151" t="e">
        <v>#N/A</v>
      </c>
      <c r="G151" s="3" t="s">
        <v>149</v>
      </c>
      <c r="H151" s="3" t="s">
        <v>116</v>
      </c>
    </row>
    <row r="152" spans="1:8" x14ac:dyDescent="0.3">
      <c r="A152" t="s">
        <v>150</v>
      </c>
      <c r="B152" t="e">
        <v>#N/A</v>
      </c>
      <c r="G152" s="3" t="s">
        <v>150</v>
      </c>
      <c r="H152" s="3" t="s">
        <v>131</v>
      </c>
    </row>
    <row r="153" spans="1:8" x14ac:dyDescent="0.3">
      <c r="A153" t="s">
        <v>151</v>
      </c>
      <c r="B153" t="e">
        <v>#N/A</v>
      </c>
      <c r="G153" s="3" t="s">
        <v>151</v>
      </c>
      <c r="H153" s="3" t="s">
        <v>203</v>
      </c>
    </row>
    <row r="154" spans="1:8" x14ac:dyDescent="0.3">
      <c r="A154" t="s">
        <v>152</v>
      </c>
      <c r="B154" t="e">
        <v>#N/A</v>
      </c>
      <c r="G154" s="3" t="s">
        <v>152</v>
      </c>
      <c r="H154" s="3" t="s">
        <v>236</v>
      </c>
    </row>
    <row r="155" spans="1:8" x14ac:dyDescent="0.3">
      <c r="A155" t="s">
        <v>153</v>
      </c>
      <c r="B155" t="s">
        <v>153</v>
      </c>
      <c r="G155" s="3" t="s">
        <v>153</v>
      </c>
      <c r="H155" s="3" t="s">
        <v>153</v>
      </c>
    </row>
    <row r="156" spans="1:8" x14ac:dyDescent="0.3">
      <c r="A156" t="s">
        <v>154</v>
      </c>
      <c r="B156" t="e">
        <v>#N/A</v>
      </c>
      <c r="G156" s="3" t="s">
        <v>154</v>
      </c>
      <c r="H156" s="3" t="s">
        <v>121</v>
      </c>
    </row>
    <row r="157" spans="1:8" x14ac:dyDescent="0.3">
      <c r="A157" t="s">
        <v>155</v>
      </c>
      <c r="B157" t="e">
        <v>#N/A</v>
      </c>
      <c r="G157" s="3" t="s">
        <v>155</v>
      </c>
      <c r="H157" s="3" t="s">
        <v>310</v>
      </c>
    </row>
    <row r="158" spans="1:8" x14ac:dyDescent="0.3">
      <c r="A158" t="s">
        <v>156</v>
      </c>
      <c r="B158" t="e">
        <v>#N/A</v>
      </c>
      <c r="G158" s="3" t="s">
        <v>156</v>
      </c>
      <c r="H158" s="3" t="s">
        <v>153</v>
      </c>
    </row>
    <row r="159" spans="1:8" x14ac:dyDescent="0.3">
      <c r="A159" t="s">
        <v>157</v>
      </c>
      <c r="B159" t="e">
        <v>#N/A</v>
      </c>
      <c r="G159" s="3" t="s">
        <v>157</v>
      </c>
      <c r="H159" s="3" t="s">
        <v>311</v>
      </c>
    </row>
    <row r="160" spans="1:8" x14ac:dyDescent="0.3">
      <c r="A160" t="s">
        <v>158</v>
      </c>
      <c r="B160" t="e">
        <v>#N/A</v>
      </c>
      <c r="G160" s="3" t="s">
        <v>158</v>
      </c>
      <c r="H160" s="3" t="s">
        <v>237</v>
      </c>
    </row>
    <row r="161" spans="1:8" x14ac:dyDescent="0.3">
      <c r="A161" t="s">
        <v>159</v>
      </c>
      <c r="B161" t="e">
        <v>#N/A</v>
      </c>
      <c r="G161" s="3" t="s">
        <v>159</v>
      </c>
      <c r="H161" s="3" t="s">
        <v>312</v>
      </c>
    </row>
    <row r="162" spans="1:8" x14ac:dyDescent="0.3">
      <c r="A162" t="s">
        <v>160</v>
      </c>
      <c r="B162" t="e">
        <v>#N/A</v>
      </c>
      <c r="G162" s="3" t="s">
        <v>160</v>
      </c>
      <c r="H162" s="3" t="s">
        <v>200</v>
      </c>
    </row>
    <row r="163" spans="1:8" x14ac:dyDescent="0.3">
      <c r="A163" t="s">
        <v>161</v>
      </c>
      <c r="B163" t="e">
        <v>#N/A</v>
      </c>
      <c r="G163" s="3" t="s">
        <v>161</v>
      </c>
      <c r="H163" s="3" t="s">
        <v>217</v>
      </c>
    </row>
    <row r="164" spans="1:8" x14ac:dyDescent="0.3">
      <c r="A164" t="s">
        <v>162</v>
      </c>
      <c r="B164" t="e">
        <v>#N/A</v>
      </c>
      <c r="G164" s="3" t="s">
        <v>162</v>
      </c>
      <c r="H164" s="3" t="s">
        <v>304</v>
      </c>
    </row>
    <row r="165" spans="1:8" x14ac:dyDescent="0.3">
      <c r="A165" t="s">
        <v>163</v>
      </c>
      <c r="B165" t="e">
        <v>#N/A</v>
      </c>
      <c r="G165" s="3" t="s">
        <v>163</v>
      </c>
      <c r="H165" s="3" t="s">
        <v>237</v>
      </c>
    </row>
    <row r="166" spans="1:8" x14ac:dyDescent="0.3">
      <c r="A166" t="s">
        <v>164</v>
      </c>
      <c r="B166" t="e">
        <v>#N/A</v>
      </c>
      <c r="G166" s="3" t="s">
        <v>164</v>
      </c>
      <c r="H166" s="3" t="s">
        <v>296</v>
      </c>
    </row>
    <row r="167" spans="1:8" x14ac:dyDescent="0.3">
      <c r="A167" t="s">
        <v>165</v>
      </c>
      <c r="B167" t="e">
        <v>#N/A</v>
      </c>
      <c r="G167" s="3" t="s">
        <v>165</v>
      </c>
      <c r="H167" s="3" t="s">
        <v>296</v>
      </c>
    </row>
    <row r="168" spans="1:8" x14ac:dyDescent="0.3">
      <c r="A168" t="s">
        <v>166</v>
      </c>
      <c r="B168" t="e">
        <v>#N/A</v>
      </c>
      <c r="G168" s="3" t="s">
        <v>166</v>
      </c>
      <c r="H168" s="3" t="s">
        <v>167</v>
      </c>
    </row>
    <row r="169" spans="1:8" x14ac:dyDescent="0.3">
      <c r="A169" t="s">
        <v>167</v>
      </c>
      <c r="B169" t="s">
        <v>167</v>
      </c>
      <c r="G169" s="3" t="s">
        <v>167</v>
      </c>
      <c r="H169" s="3" t="s">
        <v>167</v>
      </c>
    </row>
    <row r="170" spans="1:8" x14ac:dyDescent="0.3">
      <c r="A170" t="s">
        <v>168</v>
      </c>
      <c r="B170" t="e">
        <v>#N/A</v>
      </c>
      <c r="G170" s="3" t="s">
        <v>168</v>
      </c>
      <c r="H170" s="3" t="s">
        <v>129</v>
      </c>
    </row>
    <row r="171" spans="1:8" x14ac:dyDescent="0.3">
      <c r="A171" t="s">
        <v>169</v>
      </c>
      <c r="B171" t="e">
        <v>#N/A</v>
      </c>
      <c r="G171" s="3" t="s">
        <v>169</v>
      </c>
      <c r="H171" s="3" t="s">
        <v>236</v>
      </c>
    </row>
    <row r="172" spans="1:8" x14ac:dyDescent="0.3">
      <c r="A172" t="s">
        <v>170</v>
      </c>
      <c r="B172" t="e">
        <v>#N/A</v>
      </c>
      <c r="G172" s="3" t="s">
        <v>170</v>
      </c>
      <c r="H172" s="3" t="s">
        <v>308</v>
      </c>
    </row>
    <row r="173" spans="1:8" x14ac:dyDescent="0.3">
      <c r="A173" t="s">
        <v>171</v>
      </c>
      <c r="B173" t="e">
        <v>#N/A</v>
      </c>
      <c r="G173" s="3" t="s">
        <v>171</v>
      </c>
      <c r="H173" s="3" t="s">
        <v>247</v>
      </c>
    </row>
    <row r="174" spans="1:8" x14ac:dyDescent="0.3">
      <c r="A174" t="s">
        <v>172</v>
      </c>
      <c r="B174" t="e">
        <v>#N/A</v>
      </c>
      <c r="G174" s="3" t="s">
        <v>172</v>
      </c>
      <c r="H174" s="3" t="s">
        <v>210</v>
      </c>
    </row>
    <row r="175" spans="1:8" x14ac:dyDescent="0.3">
      <c r="A175" t="s">
        <v>173</v>
      </c>
      <c r="B175" t="e">
        <v>#N/A</v>
      </c>
      <c r="G175" s="3" t="s">
        <v>173</v>
      </c>
      <c r="H175" s="3" t="s">
        <v>224</v>
      </c>
    </row>
    <row r="176" spans="1:8" x14ac:dyDescent="0.3">
      <c r="A176" t="s">
        <v>174</v>
      </c>
      <c r="B176" t="e">
        <v>#N/A</v>
      </c>
      <c r="G176" s="3" t="s">
        <v>174</v>
      </c>
      <c r="H176" s="3" t="s">
        <v>238</v>
      </c>
    </row>
    <row r="177" spans="1:8" x14ac:dyDescent="0.3">
      <c r="A177" t="s">
        <v>175</v>
      </c>
      <c r="B177" t="e">
        <v>#N/A</v>
      </c>
      <c r="G177" s="3" t="s">
        <v>175</v>
      </c>
      <c r="H177" s="3" t="s">
        <v>211</v>
      </c>
    </row>
    <row r="178" spans="1:8" x14ac:dyDescent="0.3">
      <c r="A178" t="s">
        <v>176</v>
      </c>
      <c r="B178" t="e">
        <v>#N/A</v>
      </c>
      <c r="G178" s="3" t="s">
        <v>176</v>
      </c>
      <c r="H178" s="3" t="s">
        <v>209</v>
      </c>
    </row>
    <row r="179" spans="1:8" ht="28.8" x14ac:dyDescent="0.3">
      <c r="A179" t="s">
        <v>177</v>
      </c>
      <c r="B179" t="e">
        <v>#N/A</v>
      </c>
      <c r="G179" s="3" t="s">
        <v>177</v>
      </c>
      <c r="H179" s="3" t="s">
        <v>302</v>
      </c>
    </row>
    <row r="180" spans="1:8" x14ac:dyDescent="0.3">
      <c r="A180" t="s">
        <v>178</v>
      </c>
      <c r="B180" t="e">
        <v>#N/A</v>
      </c>
      <c r="G180" s="3" t="s">
        <v>178</v>
      </c>
      <c r="H180" s="3" t="s">
        <v>313</v>
      </c>
    </row>
    <row r="181" spans="1:8" x14ac:dyDescent="0.3">
      <c r="A181" t="s">
        <v>179</v>
      </c>
      <c r="B181" t="e">
        <v>#N/A</v>
      </c>
      <c r="G181" s="3" t="s">
        <v>179</v>
      </c>
      <c r="H181" s="3" t="s">
        <v>206</v>
      </c>
    </row>
    <row r="182" spans="1:8" x14ac:dyDescent="0.3">
      <c r="A182" t="s">
        <v>180</v>
      </c>
      <c r="B182" t="e">
        <v>#N/A</v>
      </c>
      <c r="G182" s="3" t="s">
        <v>180</v>
      </c>
      <c r="H182" s="3" t="s">
        <v>227</v>
      </c>
    </row>
    <row r="183" spans="1:8" x14ac:dyDescent="0.3">
      <c r="A183" t="s">
        <v>181</v>
      </c>
      <c r="B183" t="e">
        <v>#N/A</v>
      </c>
      <c r="G183" s="3" t="s">
        <v>181</v>
      </c>
      <c r="H183" s="3" t="s">
        <v>246</v>
      </c>
    </row>
    <row r="184" spans="1:8" x14ac:dyDescent="0.3">
      <c r="A184" t="s">
        <v>182</v>
      </c>
      <c r="B184" t="e">
        <v>#N/A</v>
      </c>
      <c r="G184" s="3" t="s">
        <v>182</v>
      </c>
      <c r="H184" s="3" t="s">
        <v>244</v>
      </c>
    </row>
    <row r="185" spans="1:8" x14ac:dyDescent="0.3">
      <c r="A185" t="s">
        <v>183</v>
      </c>
      <c r="B185" t="e">
        <v>#N/A</v>
      </c>
      <c r="G185" s="3" t="s">
        <v>183</v>
      </c>
      <c r="H185" s="3" t="s">
        <v>244</v>
      </c>
    </row>
    <row r="186" spans="1:8" x14ac:dyDescent="0.3">
      <c r="A186" t="s">
        <v>184</v>
      </c>
      <c r="B186" t="e">
        <v>#N/A</v>
      </c>
      <c r="G186" s="3" t="s">
        <v>184</v>
      </c>
      <c r="H186" s="3" t="s">
        <v>313</v>
      </c>
    </row>
    <row r="187" spans="1:8" x14ac:dyDescent="0.3">
      <c r="A187" t="s">
        <v>185</v>
      </c>
      <c r="B187" t="e">
        <v>#N/A</v>
      </c>
      <c r="G187" s="3" t="s">
        <v>185</v>
      </c>
      <c r="H187" s="3" t="s">
        <v>222</v>
      </c>
    </row>
    <row r="188" spans="1:8" x14ac:dyDescent="0.3">
      <c r="A188" t="s">
        <v>186</v>
      </c>
      <c r="B188" t="e">
        <v>#N/A</v>
      </c>
      <c r="G188" s="3" t="s">
        <v>186</v>
      </c>
      <c r="H188" s="3" t="s">
        <v>215</v>
      </c>
    </row>
    <row r="189" spans="1:8" x14ac:dyDescent="0.3">
      <c r="A189" t="s">
        <v>187</v>
      </c>
      <c r="B189" t="e">
        <v>#N/A</v>
      </c>
      <c r="G189" s="3" t="s">
        <v>187</v>
      </c>
      <c r="H189" s="3" t="s">
        <v>242</v>
      </c>
    </row>
    <row r="190" spans="1:8" x14ac:dyDescent="0.3">
      <c r="A190" t="s">
        <v>188</v>
      </c>
      <c r="B190" t="e">
        <v>#N/A</v>
      </c>
      <c r="G190" s="3" t="s">
        <v>188</v>
      </c>
      <c r="H190" s="3" t="s">
        <v>227</v>
      </c>
    </row>
    <row r="191" spans="1:8" x14ac:dyDescent="0.3">
      <c r="A191" t="s">
        <v>189</v>
      </c>
      <c r="B191" t="e">
        <v>#N/A</v>
      </c>
      <c r="G191" s="3" t="s">
        <v>189</v>
      </c>
      <c r="H191" s="3" t="s">
        <v>308</v>
      </c>
    </row>
    <row r="192" spans="1:8" x14ac:dyDescent="0.3">
      <c r="A192" t="s">
        <v>190</v>
      </c>
      <c r="B192" t="e">
        <v>#N/A</v>
      </c>
      <c r="G192" s="3" t="s">
        <v>190</v>
      </c>
      <c r="H192" s="3" t="s">
        <v>203</v>
      </c>
    </row>
    <row r="193" spans="1:8" x14ac:dyDescent="0.3">
      <c r="A193" t="s">
        <v>191</v>
      </c>
      <c r="B193" t="e">
        <v>#N/A</v>
      </c>
      <c r="G193" s="3" t="s">
        <v>191</v>
      </c>
      <c r="H193" s="3" t="s">
        <v>239</v>
      </c>
    </row>
    <row r="194" spans="1:8" x14ac:dyDescent="0.3">
      <c r="A194" t="s">
        <v>192</v>
      </c>
      <c r="B194" t="e">
        <v>#N/A</v>
      </c>
      <c r="G194" s="3" t="s">
        <v>192</v>
      </c>
      <c r="H194" s="3" t="s">
        <v>308</v>
      </c>
    </row>
    <row r="195" spans="1:8" x14ac:dyDescent="0.3">
      <c r="A195" t="s">
        <v>193</v>
      </c>
      <c r="B195" t="e">
        <v>#N/A</v>
      </c>
      <c r="G195" s="3" t="s">
        <v>193</v>
      </c>
      <c r="H195" s="3" t="s">
        <v>129</v>
      </c>
    </row>
    <row r="196" spans="1:8" x14ac:dyDescent="0.3">
      <c r="A196" t="s">
        <v>194</v>
      </c>
      <c r="B196" t="e">
        <v>#N/A</v>
      </c>
      <c r="G196" s="3" t="s">
        <v>194</v>
      </c>
      <c r="H196" s="3" t="s">
        <v>129</v>
      </c>
    </row>
    <row r="197" spans="1:8" x14ac:dyDescent="0.3">
      <c r="A197" t="s">
        <v>195</v>
      </c>
      <c r="B197" t="e">
        <v>#N/A</v>
      </c>
      <c r="G197" s="3" t="s">
        <v>195</v>
      </c>
      <c r="H197" s="3" t="s">
        <v>16</v>
      </c>
    </row>
    <row r="198" spans="1:8" x14ac:dyDescent="0.3">
      <c r="A198" t="s">
        <v>196</v>
      </c>
      <c r="B198" t="s">
        <v>196</v>
      </c>
      <c r="G198" s="3" t="s">
        <v>196</v>
      </c>
      <c r="H198" s="3" t="s">
        <v>196</v>
      </c>
    </row>
  </sheetData>
  <autoFilter ref="G1:H198" xr:uid="{953FDE84-0A6A-4D4B-A041-CD9077D6D81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6F26F-5957-44B8-A0BE-1160EDBEFACA}">
  <dimension ref="A1:J117"/>
  <sheetViews>
    <sheetView topLeftCell="A61" workbookViewId="0">
      <selection activeCell="G114" sqref="G114"/>
    </sheetView>
  </sheetViews>
  <sheetFormatPr defaultRowHeight="14.4" x14ac:dyDescent="0.3"/>
  <cols>
    <col min="1" max="1" width="19.88671875" bestFit="1" customWidth="1"/>
    <col min="2" max="2" width="20.21875" bestFit="1" customWidth="1"/>
    <col min="9" max="9" width="20.21875" bestFit="1" customWidth="1"/>
  </cols>
  <sheetData>
    <row r="1" spans="1:10" x14ac:dyDescent="0.3">
      <c r="A1" s="2" t="s">
        <v>292</v>
      </c>
      <c r="B1" s="2" t="s">
        <v>315</v>
      </c>
      <c r="I1" s="2" t="s">
        <v>353</v>
      </c>
      <c r="J1" s="1" t="s">
        <v>358</v>
      </c>
    </row>
    <row r="2" spans="1:10" x14ac:dyDescent="0.3">
      <c r="A2" s="3" t="s">
        <v>4</v>
      </c>
      <c r="B2" s="3" t="s">
        <v>316</v>
      </c>
      <c r="I2" s="3" t="s">
        <v>316</v>
      </c>
      <c r="J2" t="s">
        <v>357</v>
      </c>
    </row>
    <row r="3" spans="1:10" x14ac:dyDescent="0.3">
      <c r="A3" s="3" t="s">
        <v>197</v>
      </c>
      <c r="B3" s="3" t="s">
        <v>316</v>
      </c>
      <c r="I3" s="3" t="s">
        <v>314</v>
      </c>
      <c r="J3" t="s">
        <v>357</v>
      </c>
    </row>
    <row r="4" spans="1:10" x14ac:dyDescent="0.3">
      <c r="A4" s="3" t="s">
        <v>94</v>
      </c>
      <c r="B4" s="3" t="s">
        <v>316</v>
      </c>
      <c r="I4" s="3" t="s">
        <v>317</v>
      </c>
      <c r="J4" t="s">
        <v>357</v>
      </c>
    </row>
    <row r="5" spans="1:10" x14ac:dyDescent="0.3">
      <c r="A5" s="3" t="s">
        <v>198</v>
      </c>
      <c r="B5" s="3" t="s">
        <v>314</v>
      </c>
      <c r="I5" s="3" t="s">
        <v>319</v>
      </c>
      <c r="J5" t="s">
        <v>357</v>
      </c>
    </row>
    <row r="6" spans="1:10" x14ac:dyDescent="0.3">
      <c r="A6" s="3" t="s">
        <v>199</v>
      </c>
      <c r="B6" s="3" t="s">
        <v>317</v>
      </c>
      <c r="I6" s="3" t="s">
        <v>320</v>
      </c>
      <c r="J6" t="s">
        <v>354</v>
      </c>
    </row>
    <row r="7" spans="1:10" x14ac:dyDescent="0.3">
      <c r="A7" s="3" t="s">
        <v>200</v>
      </c>
      <c r="B7" s="3" t="s">
        <v>314</v>
      </c>
      <c r="I7" s="3" t="s">
        <v>322</v>
      </c>
      <c r="J7" t="s">
        <v>357</v>
      </c>
    </row>
    <row r="8" spans="1:10" x14ac:dyDescent="0.3">
      <c r="A8" s="3" t="s">
        <v>201</v>
      </c>
      <c r="B8" s="3" t="s">
        <v>314</v>
      </c>
      <c r="I8" s="3" t="s">
        <v>323</v>
      </c>
      <c r="J8" t="s">
        <v>357</v>
      </c>
    </row>
    <row r="9" spans="1:10" x14ac:dyDescent="0.3">
      <c r="A9" s="3" t="s">
        <v>318</v>
      </c>
      <c r="B9" s="3" t="s">
        <v>319</v>
      </c>
      <c r="I9" s="3" t="s">
        <v>324</v>
      </c>
      <c r="J9" t="s">
        <v>357</v>
      </c>
    </row>
    <row r="10" spans="1:10" x14ac:dyDescent="0.3">
      <c r="A10" s="3" t="s">
        <v>202</v>
      </c>
      <c r="B10" s="3" t="s">
        <v>320</v>
      </c>
      <c r="I10" s="3" t="s">
        <v>325</v>
      </c>
      <c r="J10" t="s">
        <v>357</v>
      </c>
    </row>
    <row r="11" spans="1:10" x14ac:dyDescent="0.3">
      <c r="A11" s="3" t="s">
        <v>321</v>
      </c>
      <c r="B11" s="3" t="s">
        <v>322</v>
      </c>
      <c r="I11" s="3" t="s">
        <v>326</v>
      </c>
      <c r="J11" t="s">
        <v>354</v>
      </c>
    </row>
    <row r="12" spans="1:10" x14ac:dyDescent="0.3">
      <c r="A12" s="3" t="s">
        <v>203</v>
      </c>
      <c r="B12" s="3" t="s">
        <v>322</v>
      </c>
      <c r="I12" s="3" t="s">
        <v>331</v>
      </c>
      <c r="J12" t="s">
        <v>357</v>
      </c>
    </row>
    <row r="13" spans="1:10" x14ac:dyDescent="0.3">
      <c r="A13" s="3" t="s">
        <v>204</v>
      </c>
      <c r="B13" s="3" t="s">
        <v>319</v>
      </c>
      <c r="I13" s="3" t="s">
        <v>332</v>
      </c>
      <c r="J13" t="s">
        <v>356</v>
      </c>
    </row>
    <row r="14" spans="1:10" x14ac:dyDescent="0.3">
      <c r="A14" s="3" t="s">
        <v>205</v>
      </c>
      <c r="B14" s="3" t="s">
        <v>323</v>
      </c>
      <c r="I14" s="3" t="s">
        <v>333</v>
      </c>
      <c r="J14" t="s">
        <v>355</v>
      </c>
    </row>
    <row r="15" spans="1:10" x14ac:dyDescent="0.3">
      <c r="A15" s="3" t="s">
        <v>206</v>
      </c>
      <c r="B15" s="3" t="s">
        <v>324</v>
      </c>
      <c r="I15" s="3" t="s">
        <v>334</v>
      </c>
      <c r="J15" t="s">
        <v>357</v>
      </c>
    </row>
    <row r="16" spans="1:10" x14ac:dyDescent="0.3">
      <c r="A16" s="3" t="s">
        <v>14</v>
      </c>
      <c r="B16" s="3" t="s">
        <v>320</v>
      </c>
      <c r="I16" s="3" t="s">
        <v>335</v>
      </c>
      <c r="J16" t="s">
        <v>357</v>
      </c>
    </row>
    <row r="17" spans="1:10" x14ac:dyDescent="0.3">
      <c r="A17" s="3" t="s">
        <v>15</v>
      </c>
      <c r="B17" s="3" t="s">
        <v>325</v>
      </c>
      <c r="I17" s="3" t="s">
        <v>336</v>
      </c>
      <c r="J17" t="s">
        <v>357</v>
      </c>
    </row>
    <row r="18" spans="1:10" x14ac:dyDescent="0.3">
      <c r="A18" s="3" t="s">
        <v>16</v>
      </c>
      <c r="B18" s="3" t="s">
        <v>326</v>
      </c>
      <c r="I18" s="3" t="s">
        <v>26</v>
      </c>
      <c r="J18" t="s">
        <v>357</v>
      </c>
    </row>
    <row r="19" spans="1:10" x14ac:dyDescent="0.3">
      <c r="A19" s="3" t="s">
        <v>296</v>
      </c>
      <c r="B19" s="3" t="s">
        <v>322</v>
      </c>
      <c r="I19" s="3" t="s">
        <v>116</v>
      </c>
      <c r="J19" t="s">
        <v>357</v>
      </c>
    </row>
    <row r="20" spans="1:10" x14ac:dyDescent="0.3">
      <c r="A20" s="3" t="s">
        <v>327</v>
      </c>
      <c r="B20" s="3" t="s">
        <v>319</v>
      </c>
      <c r="I20" s="3" t="s">
        <v>342</v>
      </c>
      <c r="J20" t="s">
        <v>357</v>
      </c>
    </row>
    <row r="21" spans="1:10" x14ac:dyDescent="0.3">
      <c r="A21" s="3" t="s">
        <v>207</v>
      </c>
      <c r="B21" s="3" t="s">
        <v>326</v>
      </c>
      <c r="I21" s="3"/>
    </row>
    <row r="22" spans="1:10" x14ac:dyDescent="0.3">
      <c r="A22" s="3" t="s">
        <v>208</v>
      </c>
      <c r="B22" s="3" t="s">
        <v>316</v>
      </c>
    </row>
    <row r="23" spans="1:10" x14ac:dyDescent="0.3">
      <c r="A23" s="3" t="s">
        <v>328</v>
      </c>
      <c r="B23" s="3" t="s">
        <v>322</v>
      </c>
    </row>
    <row r="24" spans="1:10" x14ac:dyDescent="0.3">
      <c r="A24" s="3" t="s">
        <v>329</v>
      </c>
      <c r="B24" s="3" t="s">
        <v>314</v>
      </c>
    </row>
    <row r="25" spans="1:10" x14ac:dyDescent="0.3">
      <c r="A25" s="3" t="s">
        <v>209</v>
      </c>
      <c r="B25" s="3" t="s">
        <v>326</v>
      </c>
    </row>
    <row r="26" spans="1:10" x14ac:dyDescent="0.3">
      <c r="A26" s="3" t="s">
        <v>210</v>
      </c>
      <c r="B26" s="3" t="s">
        <v>319</v>
      </c>
    </row>
    <row r="27" spans="1:10" x14ac:dyDescent="0.3">
      <c r="A27" s="3" t="s">
        <v>211</v>
      </c>
      <c r="B27" s="3" t="s">
        <v>316</v>
      </c>
    </row>
    <row r="28" spans="1:10" x14ac:dyDescent="0.3">
      <c r="A28" s="3" t="s">
        <v>298</v>
      </c>
      <c r="B28" s="3" t="s">
        <v>316</v>
      </c>
    </row>
    <row r="29" spans="1:10" x14ac:dyDescent="0.3">
      <c r="A29" s="3" t="s">
        <v>299</v>
      </c>
      <c r="B29" s="3" t="s">
        <v>316</v>
      </c>
    </row>
    <row r="30" spans="1:10" x14ac:dyDescent="0.3">
      <c r="A30" s="3" t="s">
        <v>330</v>
      </c>
      <c r="B30" s="3" t="s">
        <v>323</v>
      </c>
    </row>
    <row r="31" spans="1:10" x14ac:dyDescent="0.3">
      <c r="A31" s="3" t="s">
        <v>212</v>
      </c>
      <c r="B31" s="3" t="s">
        <v>331</v>
      </c>
    </row>
    <row r="32" spans="1:10" x14ac:dyDescent="0.3">
      <c r="A32" s="3" t="s">
        <v>38</v>
      </c>
      <c r="B32" s="3" t="s">
        <v>319</v>
      </c>
    </row>
    <row r="33" spans="1:2" x14ac:dyDescent="0.3">
      <c r="A33" s="3" t="s">
        <v>303</v>
      </c>
      <c r="B33" s="3" t="s">
        <v>316</v>
      </c>
    </row>
    <row r="34" spans="1:2" x14ac:dyDescent="0.3">
      <c r="A34" s="3" t="s">
        <v>213</v>
      </c>
      <c r="B34" s="3" t="s">
        <v>323</v>
      </c>
    </row>
    <row r="35" spans="1:2" x14ac:dyDescent="0.3">
      <c r="A35" s="3" t="s">
        <v>214</v>
      </c>
      <c r="B35" s="3" t="s">
        <v>332</v>
      </c>
    </row>
    <row r="36" spans="1:2" x14ac:dyDescent="0.3">
      <c r="A36" s="3" t="s">
        <v>215</v>
      </c>
      <c r="B36" s="3" t="s">
        <v>333</v>
      </c>
    </row>
    <row r="37" spans="1:2" x14ac:dyDescent="0.3">
      <c r="A37" s="3" t="s">
        <v>302</v>
      </c>
      <c r="B37" s="3" t="s">
        <v>334</v>
      </c>
    </row>
    <row r="38" spans="1:2" x14ac:dyDescent="0.3">
      <c r="A38" s="3" t="s">
        <v>51</v>
      </c>
      <c r="B38" s="3" t="s">
        <v>320</v>
      </c>
    </row>
    <row r="39" spans="1:2" x14ac:dyDescent="0.3">
      <c r="A39" s="3" t="s">
        <v>301</v>
      </c>
      <c r="B39" s="3" t="s">
        <v>320</v>
      </c>
    </row>
    <row r="40" spans="1:2" x14ac:dyDescent="0.3">
      <c r="A40" s="3" t="s">
        <v>216</v>
      </c>
      <c r="B40" s="3" t="s">
        <v>335</v>
      </c>
    </row>
    <row r="41" spans="1:2" x14ac:dyDescent="0.3">
      <c r="A41" s="3" t="s">
        <v>217</v>
      </c>
      <c r="B41" s="3" t="s">
        <v>335</v>
      </c>
    </row>
    <row r="42" spans="1:2" x14ac:dyDescent="0.3">
      <c r="A42" s="3" t="s">
        <v>218</v>
      </c>
      <c r="B42" s="3" t="s">
        <v>319</v>
      </c>
    </row>
    <row r="43" spans="1:2" x14ac:dyDescent="0.3">
      <c r="A43" s="3" t="s">
        <v>219</v>
      </c>
      <c r="B43" s="3" t="s">
        <v>336</v>
      </c>
    </row>
    <row r="44" spans="1:2" x14ac:dyDescent="0.3">
      <c r="A44" s="3" t="s">
        <v>69</v>
      </c>
      <c r="B44" s="3" t="s">
        <v>26</v>
      </c>
    </row>
    <row r="45" spans="1:2" x14ac:dyDescent="0.3">
      <c r="A45" s="3" t="s">
        <v>71</v>
      </c>
      <c r="B45" s="3" t="s">
        <v>334</v>
      </c>
    </row>
    <row r="46" spans="1:2" x14ac:dyDescent="0.3">
      <c r="A46" s="3" t="s">
        <v>220</v>
      </c>
      <c r="B46" s="3" t="s">
        <v>326</v>
      </c>
    </row>
    <row r="47" spans="1:2" x14ac:dyDescent="0.3">
      <c r="A47" s="3" t="s">
        <v>221</v>
      </c>
      <c r="B47" s="3" t="s">
        <v>336</v>
      </c>
    </row>
    <row r="48" spans="1:2" x14ac:dyDescent="0.3">
      <c r="A48" s="3" t="s">
        <v>304</v>
      </c>
      <c r="B48" s="3" t="s">
        <v>322</v>
      </c>
    </row>
    <row r="49" spans="1:2" x14ac:dyDescent="0.3">
      <c r="A49" s="3" t="s">
        <v>222</v>
      </c>
      <c r="B49" s="3" t="s">
        <v>316</v>
      </c>
    </row>
    <row r="50" spans="1:2" x14ac:dyDescent="0.3">
      <c r="A50" s="3" t="s">
        <v>305</v>
      </c>
      <c r="B50" s="3" t="s">
        <v>332</v>
      </c>
    </row>
    <row r="51" spans="1:2" x14ac:dyDescent="0.3">
      <c r="A51" s="3" t="s">
        <v>84</v>
      </c>
      <c r="B51" s="3" t="s">
        <v>319</v>
      </c>
    </row>
    <row r="52" spans="1:2" x14ac:dyDescent="0.3">
      <c r="A52" s="3" t="s">
        <v>337</v>
      </c>
      <c r="B52" s="3" t="s">
        <v>314</v>
      </c>
    </row>
    <row r="53" spans="1:2" x14ac:dyDescent="0.3">
      <c r="A53" s="3" t="s">
        <v>223</v>
      </c>
      <c r="B53" s="3" t="s">
        <v>322</v>
      </c>
    </row>
    <row r="54" spans="1:2" x14ac:dyDescent="0.3">
      <c r="A54" s="3" t="s">
        <v>224</v>
      </c>
      <c r="B54" s="3" t="s">
        <v>320</v>
      </c>
    </row>
    <row r="55" spans="1:2" x14ac:dyDescent="0.3">
      <c r="A55" s="3" t="s">
        <v>225</v>
      </c>
      <c r="B55" s="3" t="s">
        <v>316</v>
      </c>
    </row>
    <row r="56" spans="1:2" x14ac:dyDescent="0.3">
      <c r="A56" s="3" t="s">
        <v>306</v>
      </c>
      <c r="B56" s="3" t="s">
        <v>332</v>
      </c>
    </row>
    <row r="57" spans="1:2" x14ac:dyDescent="0.3">
      <c r="A57" s="3" t="s">
        <v>338</v>
      </c>
      <c r="B57" s="3" t="s">
        <v>322</v>
      </c>
    </row>
    <row r="58" spans="1:2" x14ac:dyDescent="0.3">
      <c r="A58" s="3" t="s">
        <v>101</v>
      </c>
      <c r="B58" s="3" t="s">
        <v>335</v>
      </c>
    </row>
    <row r="59" spans="1:2" x14ac:dyDescent="0.3">
      <c r="A59" s="3" t="s">
        <v>226</v>
      </c>
      <c r="B59" s="3" t="s">
        <v>320</v>
      </c>
    </row>
    <row r="60" spans="1:2" x14ac:dyDescent="0.3">
      <c r="A60" s="3" t="s">
        <v>227</v>
      </c>
      <c r="B60" s="3" t="s">
        <v>324</v>
      </c>
    </row>
    <row r="61" spans="1:2" x14ac:dyDescent="0.3">
      <c r="A61" s="3" t="s">
        <v>307</v>
      </c>
      <c r="B61" s="3" t="s">
        <v>332</v>
      </c>
    </row>
    <row r="62" spans="1:2" x14ac:dyDescent="0.3">
      <c r="A62" s="3" t="s">
        <v>228</v>
      </c>
      <c r="B62" s="3" t="s">
        <v>325</v>
      </c>
    </row>
    <row r="63" spans="1:2" x14ac:dyDescent="0.3">
      <c r="A63" s="3" t="s">
        <v>112</v>
      </c>
      <c r="B63" s="3" t="s">
        <v>333</v>
      </c>
    </row>
    <row r="64" spans="1:2" x14ac:dyDescent="0.3">
      <c r="A64" s="3" t="s">
        <v>116</v>
      </c>
      <c r="B64" s="3" t="s">
        <v>116</v>
      </c>
    </row>
    <row r="65" spans="1:2" x14ac:dyDescent="0.3">
      <c r="A65" s="3" t="s">
        <v>300</v>
      </c>
      <c r="B65" s="3" t="s">
        <v>332</v>
      </c>
    </row>
    <row r="66" spans="1:2" x14ac:dyDescent="0.3">
      <c r="A66" s="3" t="s">
        <v>121</v>
      </c>
      <c r="B66" s="3" t="s">
        <v>331</v>
      </c>
    </row>
    <row r="67" spans="1:2" x14ac:dyDescent="0.3">
      <c r="A67" s="3" t="s">
        <v>126</v>
      </c>
      <c r="B67" s="3" t="s">
        <v>323</v>
      </c>
    </row>
    <row r="68" spans="1:2" x14ac:dyDescent="0.3">
      <c r="A68" s="3" t="s">
        <v>229</v>
      </c>
      <c r="B68" s="3" t="s">
        <v>323</v>
      </c>
    </row>
    <row r="69" spans="1:2" x14ac:dyDescent="0.3">
      <c r="A69" s="3" t="s">
        <v>339</v>
      </c>
      <c r="B69" s="3" t="s">
        <v>335</v>
      </c>
    </row>
    <row r="70" spans="1:2" x14ac:dyDescent="0.3">
      <c r="A70" s="3" t="s">
        <v>129</v>
      </c>
      <c r="B70" s="3" t="s">
        <v>319</v>
      </c>
    </row>
    <row r="71" spans="1:2" x14ac:dyDescent="0.3">
      <c r="A71" s="3" t="s">
        <v>131</v>
      </c>
      <c r="B71" s="3" t="s">
        <v>316</v>
      </c>
    </row>
    <row r="72" spans="1:2" x14ac:dyDescent="0.3">
      <c r="A72" s="3" t="s">
        <v>340</v>
      </c>
      <c r="B72" s="3" t="s">
        <v>316</v>
      </c>
    </row>
    <row r="73" spans="1:2" x14ac:dyDescent="0.3">
      <c r="A73" s="3" t="s">
        <v>134</v>
      </c>
      <c r="B73" s="3" t="s">
        <v>335</v>
      </c>
    </row>
    <row r="74" spans="1:2" x14ac:dyDescent="0.3">
      <c r="A74" s="3" t="s">
        <v>230</v>
      </c>
      <c r="B74" s="3" t="s">
        <v>319</v>
      </c>
    </row>
    <row r="75" spans="1:2" x14ac:dyDescent="0.3">
      <c r="A75" s="3" t="s">
        <v>341</v>
      </c>
      <c r="B75" s="3" t="s">
        <v>322</v>
      </c>
    </row>
    <row r="76" spans="1:2" x14ac:dyDescent="0.3">
      <c r="A76" s="3" t="s">
        <v>231</v>
      </c>
      <c r="B76" s="3" t="s">
        <v>342</v>
      </c>
    </row>
    <row r="77" spans="1:2" x14ac:dyDescent="0.3">
      <c r="A77" s="3" t="s">
        <v>137</v>
      </c>
      <c r="B77" s="3" t="s">
        <v>319</v>
      </c>
    </row>
    <row r="78" spans="1:2" x14ac:dyDescent="0.3">
      <c r="A78" s="3" t="s">
        <v>139</v>
      </c>
      <c r="B78" s="3" t="s">
        <v>336</v>
      </c>
    </row>
    <row r="79" spans="1:2" x14ac:dyDescent="0.3">
      <c r="A79" s="3" t="s">
        <v>232</v>
      </c>
      <c r="B79" s="3" t="s">
        <v>336</v>
      </c>
    </row>
    <row r="80" spans="1:2" x14ac:dyDescent="0.3">
      <c r="A80" s="3" t="s">
        <v>143</v>
      </c>
      <c r="B80" s="3" t="s">
        <v>336</v>
      </c>
    </row>
    <row r="81" spans="1:2" x14ac:dyDescent="0.3">
      <c r="A81" s="3" t="s">
        <v>343</v>
      </c>
      <c r="B81" s="3" t="s">
        <v>336</v>
      </c>
    </row>
    <row r="82" spans="1:2" x14ac:dyDescent="0.3">
      <c r="A82" s="3" t="s">
        <v>344</v>
      </c>
      <c r="B82" s="3" t="s">
        <v>342</v>
      </c>
    </row>
    <row r="83" spans="1:2" x14ac:dyDescent="0.3">
      <c r="A83" s="3" t="s">
        <v>233</v>
      </c>
      <c r="B83" s="3" t="s">
        <v>342</v>
      </c>
    </row>
    <row r="84" spans="1:2" x14ac:dyDescent="0.3">
      <c r="A84" s="3" t="s">
        <v>234</v>
      </c>
      <c r="B84" s="3" t="s">
        <v>342</v>
      </c>
    </row>
    <row r="85" spans="1:2" x14ac:dyDescent="0.3">
      <c r="A85" s="3" t="s">
        <v>235</v>
      </c>
      <c r="B85" s="3" t="s">
        <v>342</v>
      </c>
    </row>
    <row r="86" spans="1:2" x14ac:dyDescent="0.3">
      <c r="A86" s="3" t="s">
        <v>236</v>
      </c>
      <c r="B86" s="3" t="s">
        <v>326</v>
      </c>
    </row>
    <row r="87" spans="1:2" x14ac:dyDescent="0.3">
      <c r="A87" s="3" t="s">
        <v>297</v>
      </c>
      <c r="B87" s="3" t="s">
        <v>326</v>
      </c>
    </row>
    <row r="88" spans="1:2" x14ac:dyDescent="0.3">
      <c r="A88" s="3" t="s">
        <v>309</v>
      </c>
      <c r="B88" s="3" t="s">
        <v>326</v>
      </c>
    </row>
    <row r="89" spans="1:2" x14ac:dyDescent="0.3">
      <c r="A89" s="3" t="s">
        <v>310</v>
      </c>
      <c r="B89" s="3" t="s">
        <v>326</v>
      </c>
    </row>
    <row r="90" spans="1:2" x14ac:dyDescent="0.3">
      <c r="A90" s="3" t="s">
        <v>153</v>
      </c>
      <c r="B90" s="3" t="s">
        <v>333</v>
      </c>
    </row>
    <row r="91" spans="1:2" x14ac:dyDescent="0.3">
      <c r="A91" s="3" t="s">
        <v>311</v>
      </c>
      <c r="B91" s="3" t="s">
        <v>332</v>
      </c>
    </row>
    <row r="92" spans="1:2" x14ac:dyDescent="0.3">
      <c r="A92" s="3" t="s">
        <v>237</v>
      </c>
      <c r="B92" s="3" t="s">
        <v>332</v>
      </c>
    </row>
    <row r="93" spans="1:2" x14ac:dyDescent="0.3">
      <c r="A93" s="3" t="s">
        <v>312</v>
      </c>
      <c r="B93" s="3" t="s">
        <v>322</v>
      </c>
    </row>
    <row r="94" spans="1:2" x14ac:dyDescent="0.3">
      <c r="A94" s="3" t="s">
        <v>345</v>
      </c>
      <c r="B94" s="3" t="s">
        <v>316</v>
      </c>
    </row>
    <row r="95" spans="1:2" x14ac:dyDescent="0.3">
      <c r="A95" s="3" t="s">
        <v>167</v>
      </c>
      <c r="B95" s="3" t="s">
        <v>322</v>
      </c>
    </row>
    <row r="96" spans="1:2" x14ac:dyDescent="0.3">
      <c r="A96" s="3" t="s">
        <v>313</v>
      </c>
      <c r="B96" s="3" t="s">
        <v>324</v>
      </c>
    </row>
    <row r="97" spans="1:2" x14ac:dyDescent="0.3">
      <c r="A97" s="3" t="s">
        <v>238</v>
      </c>
      <c r="B97" s="3" t="s">
        <v>322</v>
      </c>
    </row>
    <row r="98" spans="1:2" x14ac:dyDescent="0.3">
      <c r="A98" s="3" t="s">
        <v>346</v>
      </c>
      <c r="B98" s="3" t="s">
        <v>322</v>
      </c>
    </row>
    <row r="99" spans="1:2" x14ac:dyDescent="0.3">
      <c r="A99" s="3" t="s">
        <v>347</v>
      </c>
      <c r="B99" s="3" t="s">
        <v>322</v>
      </c>
    </row>
    <row r="100" spans="1:2" x14ac:dyDescent="0.3">
      <c r="A100" s="3" t="s">
        <v>239</v>
      </c>
      <c r="B100" s="3" t="s">
        <v>323</v>
      </c>
    </row>
    <row r="101" spans="1:2" x14ac:dyDescent="0.3">
      <c r="A101" s="3" t="s">
        <v>240</v>
      </c>
      <c r="B101" s="3" t="s">
        <v>336</v>
      </c>
    </row>
    <row r="102" spans="1:2" x14ac:dyDescent="0.3">
      <c r="A102" s="3" t="s">
        <v>241</v>
      </c>
      <c r="B102" s="3" t="s">
        <v>26</v>
      </c>
    </row>
    <row r="103" spans="1:2" x14ac:dyDescent="0.3">
      <c r="A103" s="3" t="s">
        <v>242</v>
      </c>
      <c r="B103" s="3" t="s">
        <v>335</v>
      </c>
    </row>
    <row r="104" spans="1:2" x14ac:dyDescent="0.3">
      <c r="A104" s="3" t="s">
        <v>348</v>
      </c>
      <c r="B104" s="3" t="s">
        <v>319</v>
      </c>
    </row>
    <row r="105" spans="1:2" x14ac:dyDescent="0.3">
      <c r="A105" s="3" t="s">
        <v>349</v>
      </c>
      <c r="B105" s="3" t="s">
        <v>322</v>
      </c>
    </row>
    <row r="106" spans="1:2" x14ac:dyDescent="0.3">
      <c r="A106" s="3" t="s">
        <v>350</v>
      </c>
      <c r="B106" s="3" t="s">
        <v>332</v>
      </c>
    </row>
    <row r="107" spans="1:2" x14ac:dyDescent="0.3">
      <c r="A107" s="3" t="s">
        <v>351</v>
      </c>
      <c r="B107" s="3" t="s">
        <v>314</v>
      </c>
    </row>
    <row r="108" spans="1:2" x14ac:dyDescent="0.3">
      <c r="A108" s="3" t="s">
        <v>352</v>
      </c>
      <c r="B108" s="3" t="s">
        <v>314</v>
      </c>
    </row>
    <row r="109" spans="1:2" x14ac:dyDescent="0.3">
      <c r="A109" s="3" t="s">
        <v>196</v>
      </c>
      <c r="B109" s="3" t="s">
        <v>319</v>
      </c>
    </row>
    <row r="110" spans="1:2" x14ac:dyDescent="0.3">
      <c r="A110" s="3" t="s">
        <v>243</v>
      </c>
      <c r="B110" s="3" t="s">
        <v>316</v>
      </c>
    </row>
    <row r="111" spans="1:2" x14ac:dyDescent="0.3">
      <c r="A111" s="3" t="s">
        <v>244</v>
      </c>
      <c r="B111" s="3" t="s">
        <v>316</v>
      </c>
    </row>
    <row r="112" spans="1:2" x14ac:dyDescent="0.3">
      <c r="A112" s="3" t="s">
        <v>245</v>
      </c>
      <c r="B112" s="3" t="s">
        <v>316</v>
      </c>
    </row>
    <row r="113" spans="1:2" x14ac:dyDescent="0.3">
      <c r="A113" s="3" t="s">
        <v>246</v>
      </c>
      <c r="B113" s="3" t="s">
        <v>316</v>
      </c>
    </row>
    <row r="114" spans="1:2" x14ac:dyDescent="0.3">
      <c r="A114" s="3" t="s">
        <v>247</v>
      </c>
      <c r="B114" s="3" t="s">
        <v>316</v>
      </c>
    </row>
    <row r="115" spans="1:2" x14ac:dyDescent="0.3">
      <c r="A115" s="3" t="s">
        <v>248</v>
      </c>
      <c r="B115" s="3" t="s">
        <v>316</v>
      </c>
    </row>
    <row r="116" spans="1:2" x14ac:dyDescent="0.3">
      <c r="A116" s="3" t="s">
        <v>249</v>
      </c>
      <c r="B116" s="3" t="s">
        <v>317</v>
      </c>
    </row>
    <row r="117" spans="1:2" x14ac:dyDescent="0.3">
      <c r="A117" s="3"/>
      <c r="B117" s="3"/>
    </row>
  </sheetData>
  <autoFilter ref="A1:B116" xr:uid="{9D46F26F-5957-44B8-A0BE-1160EDBEFAC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DE8A-2FB8-4BE5-92A7-BA7B9E2E6742}">
  <dimension ref="A1:D198"/>
  <sheetViews>
    <sheetView workbookViewId="0">
      <selection activeCell="E206" sqref="E206"/>
    </sheetView>
  </sheetViews>
  <sheetFormatPr defaultRowHeight="14.4" x14ac:dyDescent="0.3"/>
  <cols>
    <col min="1" max="1" width="28" customWidth="1"/>
    <col min="2" max="3" width="18.33203125" customWidth="1"/>
    <col min="4" max="4" width="20.21875" bestFit="1" customWidth="1"/>
  </cols>
  <sheetData>
    <row r="1" spans="1:4" x14ac:dyDescent="0.3">
      <c r="A1" s="2" t="s">
        <v>291</v>
      </c>
      <c r="B1" s="2" t="s">
        <v>292</v>
      </c>
      <c r="C1" s="2" t="s">
        <v>481</v>
      </c>
      <c r="D1" s="1" t="s">
        <v>315</v>
      </c>
    </row>
    <row r="2" spans="1:4" x14ac:dyDescent="0.3">
      <c r="A2" s="3" t="s">
        <v>0</v>
      </c>
      <c r="B2" s="3" t="s">
        <v>237</v>
      </c>
      <c r="C2" s="3" t="s">
        <v>237</v>
      </c>
      <c r="D2" t="str">
        <f>INDEX(Sheet3!B:B, MATCH(maki!B2,Sheet3!A:A,0))</f>
        <v>store_like</v>
      </c>
    </row>
    <row r="3" spans="1:4" x14ac:dyDescent="0.3">
      <c r="A3" s="3" t="s">
        <v>1</v>
      </c>
      <c r="B3" s="3" t="s">
        <v>15</v>
      </c>
      <c r="C3" s="3" t="s">
        <v>15</v>
      </c>
      <c r="D3" t="str">
        <f>INDEX(Sheet3!B:B, MATCH(maki!B3,Sheet3!A:A,0))</f>
        <v>commercial_services</v>
      </c>
    </row>
    <row r="4" spans="1:4" x14ac:dyDescent="0.3">
      <c r="A4" s="3" t="s">
        <v>2</v>
      </c>
      <c r="B4" t="s">
        <v>137</v>
      </c>
      <c r="C4" t="s">
        <v>137</v>
      </c>
      <c r="D4" t="str">
        <f>INDEX(Sheet3!B:B, MATCH(maki!B4,Sheet3!A:A,0))</f>
        <v>park_like</v>
      </c>
    </row>
    <row r="5" spans="1:4" x14ac:dyDescent="0.3">
      <c r="A5" s="3" t="s">
        <v>3</v>
      </c>
      <c r="B5" s="3" t="s">
        <v>236</v>
      </c>
      <c r="C5" s="3" t="s">
        <v>236</v>
      </c>
      <c r="D5" t="str">
        <f>INDEX(Sheet3!B:B, MATCH(maki!B5,Sheet3!A:A,0))</f>
        <v>food_and_drink</v>
      </c>
    </row>
    <row r="6" spans="1:4" x14ac:dyDescent="0.3">
      <c r="A6" s="3" t="s">
        <v>4</v>
      </c>
      <c r="B6" s="3" t="s">
        <v>4</v>
      </c>
      <c r="C6" s="3" t="s">
        <v>4</v>
      </c>
      <c r="D6" t="str">
        <f>INDEX(Sheet3!B:B, MATCH(maki!B6,Sheet3!A:A,0))</f>
        <v>motorist</v>
      </c>
    </row>
    <row r="7" spans="1:4" x14ac:dyDescent="0.3">
      <c r="A7" s="3" t="s">
        <v>5</v>
      </c>
      <c r="B7" s="3" t="s">
        <v>203</v>
      </c>
      <c r="C7" s="3" t="s">
        <v>360</v>
      </c>
      <c r="D7" t="str">
        <f>INDEX(Sheet3!B:B, MATCH(maki!B7,Sheet3!A:A,0))</f>
        <v>sport_and_leisure</v>
      </c>
    </row>
    <row r="8" spans="1:4" x14ac:dyDescent="0.3">
      <c r="A8" s="3" t="s">
        <v>6</v>
      </c>
      <c r="B8" s="3" t="s">
        <v>116</v>
      </c>
      <c r="C8" s="3" t="s">
        <v>116</v>
      </c>
      <c r="D8" t="str">
        <f>INDEX(Sheet3!B:B, MATCH(maki!B8,Sheet3!A:A,0))</f>
        <v>lodging</v>
      </c>
    </row>
    <row r="9" spans="1:4" x14ac:dyDescent="0.3">
      <c r="A9" s="3" t="s">
        <v>7</v>
      </c>
      <c r="B9" s="3" t="s">
        <v>116</v>
      </c>
      <c r="C9" s="3" t="s">
        <v>116</v>
      </c>
      <c r="D9" t="str">
        <f>INDEX(Sheet3!B:B, MATCH(maki!B9,Sheet3!A:A,0))</f>
        <v>lodging</v>
      </c>
    </row>
    <row r="10" spans="1:4" x14ac:dyDescent="0.3">
      <c r="A10" s="3" t="s">
        <v>8</v>
      </c>
      <c r="B10" s="3" t="s">
        <v>205</v>
      </c>
      <c r="C10" s="3" t="s">
        <v>361</v>
      </c>
      <c r="D10" t="str">
        <f>INDEX(Sheet3!B:B, MATCH(maki!B10,Sheet3!A:A,0))</f>
        <v>arts_and_entertainment</v>
      </c>
    </row>
    <row r="11" spans="1:4" x14ac:dyDescent="0.3">
      <c r="A11" s="3" t="s">
        <v>9</v>
      </c>
      <c r="B11" s="3" t="s">
        <v>205</v>
      </c>
      <c r="C11" s="3" t="s">
        <v>361</v>
      </c>
      <c r="D11" t="str">
        <f>INDEX(Sheet3!B:B, MATCH(maki!B11,Sheet3!A:A,0))</f>
        <v>arts_and_entertainment</v>
      </c>
    </row>
    <row r="12" spans="1:4" x14ac:dyDescent="0.3">
      <c r="A12" s="3" t="s">
        <v>10</v>
      </c>
      <c r="B12" s="3" t="s">
        <v>297</v>
      </c>
      <c r="C12" s="3" t="s">
        <v>236</v>
      </c>
      <c r="D12" t="str">
        <f>INDEX(Sheet3!B:B, MATCH(maki!B12,Sheet3!A:A,0))</f>
        <v>food_and_drink</v>
      </c>
    </row>
    <row r="13" spans="1:4" x14ac:dyDescent="0.3">
      <c r="A13" s="3" t="s">
        <v>11</v>
      </c>
      <c r="B13" s="3" t="s">
        <v>15</v>
      </c>
      <c r="C13" s="3" t="s">
        <v>15</v>
      </c>
      <c r="D13" t="str">
        <f>INDEX(Sheet3!B:B, MATCH(maki!B13,Sheet3!A:A,0))</f>
        <v>commercial_services</v>
      </c>
    </row>
    <row r="14" spans="1:4" x14ac:dyDescent="0.3">
      <c r="A14" s="3" t="s">
        <v>12</v>
      </c>
      <c r="B14" s="3" t="s">
        <v>239</v>
      </c>
      <c r="C14" s="3" t="s">
        <v>239</v>
      </c>
      <c r="D14" t="str">
        <f>INDEX(Sheet3!B:B, MATCH(maki!B14,Sheet3!A:A,0))</f>
        <v>arts_and_entertainment</v>
      </c>
    </row>
    <row r="15" spans="1:4" x14ac:dyDescent="0.3">
      <c r="A15" s="3" t="s">
        <v>13</v>
      </c>
      <c r="B15" s="3" t="s">
        <v>211</v>
      </c>
      <c r="C15" s="3" t="s">
        <v>211</v>
      </c>
      <c r="D15" t="str">
        <f>INDEX(Sheet3!B:B, MATCH(maki!B15,Sheet3!A:A,0))</f>
        <v>motorist</v>
      </c>
    </row>
    <row r="16" spans="1:4" x14ac:dyDescent="0.3">
      <c r="A16" s="3" t="s">
        <v>14</v>
      </c>
      <c r="B16" s="3" t="s">
        <v>14</v>
      </c>
      <c r="C16" s="3" t="s">
        <v>14</v>
      </c>
      <c r="D16" t="str">
        <f>INDEX(Sheet3!B:B, MATCH(maki!B16,Sheet3!A:A,0))</f>
        <v>food_and_drink_stores</v>
      </c>
    </row>
    <row r="17" spans="1:4" x14ac:dyDescent="0.3">
      <c r="A17" s="3" t="s">
        <v>15</v>
      </c>
      <c r="B17" s="3" t="s">
        <v>15</v>
      </c>
      <c r="C17" s="3" t="s">
        <v>15</v>
      </c>
      <c r="D17" t="str">
        <f>INDEX(Sheet3!B:B, MATCH(maki!B17,Sheet3!A:A,0))</f>
        <v>commercial_services</v>
      </c>
    </row>
    <row r="18" spans="1:4" x14ac:dyDescent="0.3">
      <c r="A18" s="3" t="s">
        <v>16</v>
      </c>
      <c r="B18" s="3" t="s">
        <v>16</v>
      </c>
      <c r="C18" s="3" t="s">
        <v>16</v>
      </c>
      <c r="D18" t="str">
        <f>INDEX(Sheet3!B:B, MATCH(maki!B18,Sheet3!A:A,0))</f>
        <v>food_and_drink</v>
      </c>
    </row>
    <row r="19" spans="1:4" x14ac:dyDescent="0.3">
      <c r="A19" s="3" t="s">
        <v>17</v>
      </c>
      <c r="B19" s="3" t="s">
        <v>16</v>
      </c>
      <c r="C19" s="3" t="s">
        <v>16</v>
      </c>
      <c r="D19" t="str">
        <f>INDEX(Sheet3!B:B, MATCH(maki!B19,Sheet3!A:A,0))</f>
        <v>food_and_drink</v>
      </c>
    </row>
    <row r="20" spans="1:4" x14ac:dyDescent="0.3">
      <c r="A20" s="3" t="s">
        <v>18</v>
      </c>
      <c r="B20" s="3" t="s">
        <v>237</v>
      </c>
      <c r="C20" s="3" t="s">
        <v>237</v>
      </c>
      <c r="D20" t="str">
        <f>INDEX(Sheet3!B:B, MATCH(maki!B20,Sheet3!A:A,0))</f>
        <v>store_like</v>
      </c>
    </row>
    <row r="21" spans="1:4" x14ac:dyDescent="0.3">
      <c r="A21" s="3" t="s">
        <v>19</v>
      </c>
      <c r="B21" s="3" t="s">
        <v>237</v>
      </c>
      <c r="C21" s="3" t="s">
        <v>237</v>
      </c>
      <c r="D21" t="str">
        <f>INDEX(Sheet3!B:B, MATCH(maki!B21,Sheet3!A:A,0))</f>
        <v>store_like</v>
      </c>
    </row>
    <row r="22" spans="1:4" x14ac:dyDescent="0.3">
      <c r="A22" s="3" t="s">
        <v>20</v>
      </c>
      <c r="B22" s="3" t="s">
        <v>116</v>
      </c>
      <c r="C22" s="3" t="s">
        <v>116</v>
      </c>
      <c r="D22" t="str">
        <f>INDEX(Sheet3!B:B, MATCH(maki!B22,Sheet3!A:A,0))</f>
        <v>lodging</v>
      </c>
    </row>
    <row r="23" spans="1:4" x14ac:dyDescent="0.3">
      <c r="A23" s="3" t="s">
        <v>21</v>
      </c>
      <c r="B23" s="3" t="s">
        <v>208</v>
      </c>
      <c r="C23" s="3" t="s">
        <v>208</v>
      </c>
      <c r="D23" t="str">
        <f>INDEX(Sheet3!B:B, MATCH(maki!B23,Sheet3!A:A,0))</f>
        <v>motorist</v>
      </c>
    </row>
    <row r="24" spans="1:4" x14ac:dyDescent="0.3">
      <c r="A24" s="3" t="s">
        <v>22</v>
      </c>
      <c r="B24" s="3" t="s">
        <v>237</v>
      </c>
      <c r="C24" s="3" t="s">
        <v>237</v>
      </c>
      <c r="D24" t="str">
        <f>INDEX(Sheet3!B:B, MATCH(maki!B24,Sheet3!A:A,0))</f>
        <v>store_like</v>
      </c>
    </row>
    <row r="25" spans="1:4" x14ac:dyDescent="0.3">
      <c r="A25" s="3" t="s">
        <v>23</v>
      </c>
      <c r="B25" s="3" t="s">
        <v>237</v>
      </c>
      <c r="C25" s="3" t="s">
        <v>237</v>
      </c>
      <c r="D25" t="str">
        <f>INDEX(Sheet3!B:B, MATCH(maki!B25,Sheet3!A:A,0))</f>
        <v>store_like</v>
      </c>
    </row>
    <row r="26" spans="1:4" x14ac:dyDescent="0.3">
      <c r="A26" s="3" t="s">
        <v>24</v>
      </c>
      <c r="B26" s="3" t="s">
        <v>84</v>
      </c>
      <c r="C26" s="3" t="s">
        <v>84</v>
      </c>
      <c r="D26" t="str">
        <f>INDEX(Sheet3!B:B, MATCH(maki!B26,Sheet3!A:A,0))</f>
        <v>park_like</v>
      </c>
    </row>
    <row r="27" spans="1:4" x14ac:dyDescent="0.3">
      <c r="A27" s="3" t="s">
        <v>25</v>
      </c>
      <c r="B27" s="3" t="s">
        <v>236</v>
      </c>
      <c r="C27" s="3" t="s">
        <v>236</v>
      </c>
      <c r="D27" t="str">
        <f>INDEX(Sheet3!B:B, MATCH(maki!B27,Sheet3!A:A,0))</f>
        <v>food_and_drink</v>
      </c>
    </row>
    <row r="28" spans="1:4" x14ac:dyDescent="0.3">
      <c r="A28" s="3" t="s">
        <v>26</v>
      </c>
      <c r="B28" s="3" t="s">
        <v>116</v>
      </c>
      <c r="C28" s="3" t="s">
        <v>116</v>
      </c>
      <c r="D28" t="str">
        <f>INDEX(Sheet3!B:B, MATCH(maki!B28,Sheet3!A:A,0))</f>
        <v>lodging</v>
      </c>
    </row>
    <row r="29" spans="1:4" x14ac:dyDescent="0.3">
      <c r="A29" s="3" t="s">
        <v>27</v>
      </c>
      <c r="B29" s="3" t="s">
        <v>244</v>
      </c>
      <c r="C29" s="3" t="s">
        <v>244</v>
      </c>
      <c r="D29" t="str">
        <f>INDEX(Sheet3!B:B, MATCH(maki!B29,Sheet3!A:A,0))</f>
        <v>motorist</v>
      </c>
    </row>
    <row r="30" spans="1:4" x14ac:dyDescent="0.3">
      <c r="A30" s="3" t="s">
        <v>28</v>
      </c>
      <c r="B30" s="3" t="s">
        <v>244</v>
      </c>
      <c r="C30" s="3" t="s">
        <v>244</v>
      </c>
      <c r="D30" t="str">
        <f>INDEX(Sheet3!B:B, MATCH(maki!B30,Sheet3!A:A,0))</f>
        <v>motorist</v>
      </c>
    </row>
    <row r="31" spans="1:4" x14ac:dyDescent="0.3">
      <c r="A31" s="3" t="s">
        <v>29</v>
      </c>
      <c r="B31" s="3" t="s">
        <v>237</v>
      </c>
      <c r="C31" s="3" t="s">
        <v>237</v>
      </c>
      <c r="D31" t="str">
        <f>INDEX(Sheet3!B:B, MATCH(maki!B31,Sheet3!A:A,0))</f>
        <v>store_like</v>
      </c>
    </row>
    <row r="32" spans="1:4" x14ac:dyDescent="0.3">
      <c r="A32" s="3" t="s">
        <v>30</v>
      </c>
      <c r="B32" s="3" t="s">
        <v>209</v>
      </c>
      <c r="C32" s="3" t="s">
        <v>209</v>
      </c>
      <c r="D32" t="str">
        <f>INDEX(Sheet3!B:B, MATCH(maki!B32,Sheet3!A:A,0))</f>
        <v>food_and_drink</v>
      </c>
    </row>
    <row r="33" spans="1:4" x14ac:dyDescent="0.3">
      <c r="A33" s="3" t="s">
        <v>31</v>
      </c>
      <c r="B33" s="3" t="s">
        <v>51</v>
      </c>
      <c r="C33" s="3" t="s">
        <v>14</v>
      </c>
      <c r="D33" t="str">
        <f>INDEX(Sheet3!B:B, MATCH(maki!B33,Sheet3!A:A,0))</f>
        <v>food_and_drink_stores</v>
      </c>
    </row>
    <row r="34" spans="1:4" x14ac:dyDescent="0.3">
      <c r="A34" s="3" t="s">
        <v>32</v>
      </c>
      <c r="B34" s="3" t="s">
        <v>211</v>
      </c>
      <c r="C34" s="3" t="s">
        <v>211</v>
      </c>
      <c r="D34" t="str">
        <f>INDEX(Sheet3!B:B, MATCH(maki!B34,Sheet3!A:A,0))</f>
        <v>motorist</v>
      </c>
    </row>
    <row r="35" spans="1:4" x14ac:dyDescent="0.3">
      <c r="A35" s="3" t="s">
        <v>33</v>
      </c>
      <c r="B35" s="3" t="s">
        <v>298</v>
      </c>
      <c r="C35" s="3" t="s">
        <v>211</v>
      </c>
      <c r="D35" t="str">
        <f>INDEX(Sheet3!B:B, MATCH(maki!B35,Sheet3!A:A,0))</f>
        <v>motorist</v>
      </c>
    </row>
    <row r="36" spans="1:4" x14ac:dyDescent="0.3">
      <c r="A36" s="3" t="s">
        <v>34</v>
      </c>
      <c r="B36" s="3" t="s">
        <v>299</v>
      </c>
      <c r="C36" s="3" t="s">
        <v>211</v>
      </c>
      <c r="D36" t="str">
        <f>INDEX(Sheet3!B:B, MATCH(maki!B36,Sheet3!A:A,0))</f>
        <v>motorist</v>
      </c>
    </row>
    <row r="37" spans="1:4" x14ac:dyDescent="0.3">
      <c r="A37" s="3" t="s">
        <v>35</v>
      </c>
      <c r="B37" s="3" t="s">
        <v>211</v>
      </c>
      <c r="C37" s="3" t="s">
        <v>211</v>
      </c>
      <c r="D37" t="str">
        <f>INDEX(Sheet3!B:B, MATCH(maki!B37,Sheet3!A:A,0))</f>
        <v>motorist</v>
      </c>
    </row>
    <row r="38" spans="1:4" x14ac:dyDescent="0.3">
      <c r="A38" s="3" t="s">
        <v>36</v>
      </c>
      <c r="B38" s="3" t="s">
        <v>236</v>
      </c>
      <c r="C38" s="3" t="s">
        <v>236</v>
      </c>
      <c r="D38" t="str">
        <f>INDEX(Sheet3!B:B, MATCH(maki!B38,Sheet3!A:A,0))</f>
        <v>food_and_drink</v>
      </c>
    </row>
    <row r="39" spans="1:4" x14ac:dyDescent="0.3">
      <c r="A39" s="3" t="s">
        <v>37</v>
      </c>
      <c r="B39" s="3" t="s">
        <v>300</v>
      </c>
      <c r="C39" s="3" t="s">
        <v>237</v>
      </c>
      <c r="D39" t="str">
        <f>INDEX(Sheet3!B:B, MATCH(maki!B39,Sheet3!A:A,0))</f>
        <v>store_like</v>
      </c>
    </row>
    <row r="40" spans="1:4" x14ac:dyDescent="0.3">
      <c r="A40" s="3" t="s">
        <v>38</v>
      </c>
      <c r="B40" s="3" t="s">
        <v>38</v>
      </c>
      <c r="C40" s="3" t="s">
        <v>38</v>
      </c>
      <c r="D40" t="str">
        <f>INDEX(Sheet3!B:B, MATCH(maki!B40,Sheet3!A:A,0))</f>
        <v>park_like</v>
      </c>
    </row>
    <row r="41" spans="1:4" x14ac:dyDescent="0.3">
      <c r="A41" s="3" t="s">
        <v>39</v>
      </c>
      <c r="B41" s="3" t="s">
        <v>153</v>
      </c>
      <c r="C41" s="3" t="s">
        <v>153</v>
      </c>
      <c r="D41" t="str">
        <f>INDEX(Sheet3!B:B, MATCH(maki!B41,Sheet3!A:A,0))</f>
        <v>education</v>
      </c>
    </row>
    <row r="42" spans="1:4" x14ac:dyDescent="0.3">
      <c r="A42" s="3" t="s">
        <v>40</v>
      </c>
      <c r="B42" s="3" t="s">
        <v>210</v>
      </c>
      <c r="C42" s="3" t="s">
        <v>210</v>
      </c>
      <c r="D42" t="str">
        <f>INDEX(Sheet3!B:B, MATCH(maki!B42,Sheet3!A:A,0))</f>
        <v>park_like</v>
      </c>
    </row>
    <row r="43" spans="1:4" x14ac:dyDescent="0.3">
      <c r="A43" s="3" t="s">
        <v>41</v>
      </c>
      <c r="B43" s="3" t="s">
        <v>297</v>
      </c>
      <c r="C43" s="3" t="s">
        <v>236</v>
      </c>
      <c r="D43" t="str">
        <f>INDEX(Sheet3!B:B, MATCH(maki!B43,Sheet3!A:A,0))</f>
        <v>food_and_drink</v>
      </c>
    </row>
    <row r="44" spans="1:4" x14ac:dyDescent="0.3">
      <c r="A44" s="3" t="s">
        <v>42</v>
      </c>
      <c r="B44" s="3" t="s">
        <v>51</v>
      </c>
      <c r="C44" s="3" t="s">
        <v>237</v>
      </c>
      <c r="D44" t="str">
        <f>INDEX(Sheet3!B:B, MATCH(maki!B44,Sheet3!A:A,0))</f>
        <v>food_and_drink_stores</v>
      </c>
    </row>
    <row r="45" spans="1:4" x14ac:dyDescent="0.3">
      <c r="A45" s="3" t="s">
        <v>43</v>
      </c>
      <c r="B45" s="3" t="s">
        <v>51</v>
      </c>
      <c r="C45" s="3" t="s">
        <v>14</v>
      </c>
      <c r="D45" t="str">
        <f>INDEX(Sheet3!B:B, MATCH(maki!B45,Sheet3!A:A,0))</f>
        <v>food_and_drink_stores</v>
      </c>
    </row>
    <row r="46" spans="1:4" x14ac:dyDescent="0.3">
      <c r="A46" s="3" t="s">
        <v>44</v>
      </c>
      <c r="B46" s="3" t="s">
        <v>233</v>
      </c>
      <c r="C46" s="3" t="s">
        <v>377</v>
      </c>
      <c r="D46" t="str">
        <f>INDEX(Sheet3!B:B, MATCH(maki!B46,Sheet3!A:A,0))</f>
        <v>religion</v>
      </c>
    </row>
    <row r="47" spans="1:4" x14ac:dyDescent="0.3">
      <c r="A47" s="3" t="s">
        <v>45</v>
      </c>
      <c r="B47" s="3" t="s">
        <v>241</v>
      </c>
      <c r="C47" s="3" t="s">
        <v>381</v>
      </c>
      <c r="D47" t="str">
        <f>INDEX(Sheet3!B:B, MATCH(maki!B47,Sheet3!A:A,0))</f>
        <v>building</v>
      </c>
    </row>
    <row r="48" spans="1:4" x14ac:dyDescent="0.3">
      <c r="A48" s="3" t="s">
        <v>46</v>
      </c>
      <c r="B48" s="3" t="s">
        <v>214</v>
      </c>
      <c r="C48" s="3" t="s">
        <v>365</v>
      </c>
      <c r="D48" t="str">
        <f>INDEX(Sheet3!B:B, MATCH(maki!B48,Sheet3!A:A,0))</f>
        <v>store_like</v>
      </c>
    </row>
    <row r="49" spans="1:4" x14ac:dyDescent="0.3">
      <c r="A49" s="3" t="s">
        <v>47</v>
      </c>
      <c r="B49" s="3" t="s">
        <v>209</v>
      </c>
      <c r="C49" s="3" t="s">
        <v>209</v>
      </c>
      <c r="D49" t="str">
        <f>INDEX(Sheet3!B:B, MATCH(maki!B49,Sheet3!A:A,0))</f>
        <v>food_and_drink</v>
      </c>
    </row>
    <row r="50" spans="1:4" x14ac:dyDescent="0.3">
      <c r="A50" s="3" t="s">
        <v>48</v>
      </c>
      <c r="B50" s="3" t="s">
        <v>241</v>
      </c>
      <c r="C50" s="3" t="s">
        <v>381</v>
      </c>
      <c r="D50" t="str">
        <f>INDEX(Sheet3!B:B, MATCH(maki!B50,Sheet3!A:A,0))</f>
        <v>building</v>
      </c>
    </row>
    <row r="51" spans="1:4" x14ac:dyDescent="0.3">
      <c r="A51" s="3" t="s">
        <v>49</v>
      </c>
      <c r="B51" s="3" t="s">
        <v>229</v>
      </c>
      <c r="C51" s="3" t="s">
        <v>229</v>
      </c>
      <c r="D51" t="str">
        <f>INDEX(Sheet3!B:B, MATCH(maki!B51,Sheet3!A:A,0))</f>
        <v>arts_and_entertainment</v>
      </c>
    </row>
    <row r="52" spans="1:4" x14ac:dyDescent="0.3">
      <c r="A52" s="3" t="s">
        <v>50</v>
      </c>
      <c r="B52" s="3" t="s">
        <v>116</v>
      </c>
      <c r="C52" s="3" t="s">
        <v>116</v>
      </c>
      <c r="D52" t="str">
        <f>INDEX(Sheet3!B:B, MATCH(maki!B52,Sheet3!A:A,0))</f>
        <v>lodging</v>
      </c>
    </row>
    <row r="53" spans="1:4" x14ac:dyDescent="0.3">
      <c r="A53" s="3" t="s">
        <v>51</v>
      </c>
      <c r="B53" s="3" t="s">
        <v>51</v>
      </c>
      <c r="C53" s="3" t="s">
        <v>14</v>
      </c>
      <c r="D53" t="str">
        <f>INDEX(Sheet3!B:B, MATCH(maki!B53,Sheet3!A:A,0))</f>
        <v>food_and_drink_stores</v>
      </c>
    </row>
    <row r="54" spans="1:4" x14ac:dyDescent="0.3">
      <c r="A54" s="3" t="s">
        <v>52</v>
      </c>
      <c r="B54" s="3" t="s">
        <v>301</v>
      </c>
      <c r="C54" s="3" t="s">
        <v>224</v>
      </c>
      <c r="D54" t="str">
        <f>INDEX(Sheet3!B:B, MATCH(maki!B54,Sheet3!A:A,0))</f>
        <v>food_and_drink_stores</v>
      </c>
    </row>
    <row r="55" spans="1:4" x14ac:dyDescent="0.3">
      <c r="A55" s="3" t="s">
        <v>53</v>
      </c>
      <c r="B55" s="3" t="s">
        <v>241</v>
      </c>
      <c r="C55" s="3" t="s">
        <v>313</v>
      </c>
      <c r="D55" t="str">
        <f>INDEX(Sheet3!B:B, MATCH(maki!B55,Sheet3!A:A,0))</f>
        <v>building</v>
      </c>
    </row>
    <row r="56" spans="1:4" x14ac:dyDescent="0.3">
      <c r="A56" s="3" t="s">
        <v>54</v>
      </c>
      <c r="B56" s="3" t="s">
        <v>116</v>
      </c>
      <c r="C56" s="3" t="s">
        <v>116</v>
      </c>
      <c r="D56" t="str">
        <f>INDEX(Sheet3!B:B, MATCH(maki!B56,Sheet3!A:A,0))</f>
        <v>lodging</v>
      </c>
    </row>
    <row r="57" spans="1:4" x14ac:dyDescent="0.3">
      <c r="A57" s="3" t="s">
        <v>55</v>
      </c>
      <c r="B57" s="3" t="s">
        <v>116</v>
      </c>
      <c r="C57" s="3" t="s">
        <v>116</v>
      </c>
      <c r="D57" t="str">
        <f>INDEX(Sheet3!B:B, MATCH(maki!B57,Sheet3!A:A,0))</f>
        <v>lodging</v>
      </c>
    </row>
    <row r="58" spans="1:4" ht="28.8" x14ac:dyDescent="0.3">
      <c r="A58" s="3" t="s">
        <v>56</v>
      </c>
      <c r="B58" s="3" t="s">
        <v>302</v>
      </c>
      <c r="C58" s="3" t="s">
        <v>232</v>
      </c>
      <c r="D58" t="str">
        <f>INDEX(Sheet3!B:B, MATCH(maki!B58,Sheet3!A:A,0))</f>
        <v>industrial</v>
      </c>
    </row>
    <row r="59" spans="1:4" x14ac:dyDescent="0.3">
      <c r="A59" s="3" t="s">
        <v>57</v>
      </c>
      <c r="B59" s="3" t="s">
        <v>241</v>
      </c>
      <c r="C59" s="3" t="s">
        <v>381</v>
      </c>
      <c r="D59" t="str">
        <f>INDEX(Sheet3!B:B, MATCH(maki!B59,Sheet3!A:A,0))</f>
        <v>building</v>
      </c>
    </row>
    <row r="60" spans="1:4" x14ac:dyDescent="0.3">
      <c r="A60" s="3" t="s">
        <v>58</v>
      </c>
      <c r="B60" s="3" t="s">
        <v>126</v>
      </c>
      <c r="C60" s="3" t="s">
        <v>126</v>
      </c>
      <c r="D60" t="str">
        <f>INDEX(Sheet3!B:B, MATCH(maki!B60,Sheet3!A:A,0))</f>
        <v>arts_and_entertainment</v>
      </c>
    </row>
    <row r="61" spans="1:4" x14ac:dyDescent="0.3">
      <c r="A61" s="3" t="s">
        <v>59</v>
      </c>
      <c r="B61" s="3" t="s">
        <v>121</v>
      </c>
      <c r="C61" s="3" t="s">
        <v>121</v>
      </c>
      <c r="D61" t="str">
        <f>INDEX(Sheet3!B:B, MATCH(maki!B61,Sheet3!A:A,0))</f>
        <v>historic</v>
      </c>
    </row>
    <row r="62" spans="1:4" x14ac:dyDescent="0.3">
      <c r="A62" s="3" t="s">
        <v>60</v>
      </c>
      <c r="B62" s="3" t="s">
        <v>208</v>
      </c>
      <c r="C62" s="3" t="s">
        <v>208</v>
      </c>
      <c r="D62" t="str">
        <f>INDEX(Sheet3!B:B, MATCH(maki!B62,Sheet3!A:A,0))</f>
        <v>motorist</v>
      </c>
    </row>
    <row r="63" spans="1:4" x14ac:dyDescent="0.3">
      <c r="A63" s="3" t="s">
        <v>61</v>
      </c>
      <c r="B63" s="3" t="s">
        <v>236</v>
      </c>
      <c r="C63" s="3" t="s">
        <v>209</v>
      </c>
      <c r="D63" t="str">
        <f>INDEX(Sheet3!B:B, MATCH(maki!B63,Sheet3!A:A,0))</f>
        <v>food_and_drink</v>
      </c>
    </row>
    <row r="64" spans="1:4" x14ac:dyDescent="0.3">
      <c r="A64" s="3" t="s">
        <v>62</v>
      </c>
      <c r="B64" s="3" t="s">
        <v>216</v>
      </c>
      <c r="C64" s="3" t="s">
        <v>216</v>
      </c>
      <c r="D64" t="str">
        <f>INDEX(Sheet3!B:B, MATCH(maki!B64,Sheet3!A:A,0))</f>
        <v>medical</v>
      </c>
    </row>
    <row r="65" spans="1:4" x14ac:dyDescent="0.3">
      <c r="A65" s="3" t="s">
        <v>63</v>
      </c>
      <c r="B65" s="3" t="s">
        <v>237</v>
      </c>
      <c r="C65" s="3" t="s">
        <v>237</v>
      </c>
      <c r="D65" t="str">
        <f>INDEX(Sheet3!B:B, MATCH(maki!B65,Sheet3!A:A,0))</f>
        <v>store_like</v>
      </c>
    </row>
    <row r="66" spans="1:4" x14ac:dyDescent="0.3">
      <c r="A66" s="3" t="s">
        <v>64</v>
      </c>
      <c r="B66" s="3" t="s">
        <v>51</v>
      </c>
      <c r="C66" s="3" t="s">
        <v>14</v>
      </c>
      <c r="D66" t="str">
        <f>INDEX(Sheet3!B:B, MATCH(maki!B66,Sheet3!A:A,0))</f>
        <v>food_and_drink_stores</v>
      </c>
    </row>
    <row r="67" spans="1:4" x14ac:dyDescent="0.3">
      <c r="A67" s="3" t="s">
        <v>65</v>
      </c>
      <c r="B67" s="3" t="s">
        <v>14</v>
      </c>
      <c r="C67" s="3" t="s">
        <v>14</v>
      </c>
      <c r="D67" t="str">
        <f>INDEX(Sheet3!B:B, MATCH(maki!B67,Sheet3!A:A,0))</f>
        <v>food_and_drink_stores</v>
      </c>
    </row>
    <row r="68" spans="1:4" x14ac:dyDescent="0.3">
      <c r="A68" s="3" t="s">
        <v>66</v>
      </c>
      <c r="B68" s="3" t="s">
        <v>134</v>
      </c>
      <c r="C68" s="3" t="s">
        <v>134</v>
      </c>
      <c r="D68" t="str">
        <f>INDEX(Sheet3!B:B, MATCH(maki!B68,Sheet3!A:A,0))</f>
        <v>medical</v>
      </c>
    </row>
    <row r="69" spans="1:4" x14ac:dyDescent="0.3">
      <c r="A69" s="3" t="s">
        <v>67</v>
      </c>
      <c r="B69" s="3" t="s">
        <v>303</v>
      </c>
      <c r="C69" s="3" t="s">
        <v>222</v>
      </c>
      <c r="D69" t="str">
        <f>INDEX(Sheet3!B:B, MATCH(maki!B69,Sheet3!A:A,0))</f>
        <v>motorist</v>
      </c>
    </row>
    <row r="70" spans="1:4" x14ac:dyDescent="0.3">
      <c r="A70" s="3" t="s">
        <v>68</v>
      </c>
      <c r="B70" s="3" t="s">
        <v>237</v>
      </c>
      <c r="C70" s="3" t="s">
        <v>237</v>
      </c>
      <c r="D70" t="str">
        <f>INDEX(Sheet3!B:B, MATCH(maki!B70,Sheet3!A:A,0))</f>
        <v>store_like</v>
      </c>
    </row>
    <row r="71" spans="1:4" x14ac:dyDescent="0.3">
      <c r="A71" s="3" t="s">
        <v>69</v>
      </c>
      <c r="B71" s="3" t="s">
        <v>69</v>
      </c>
      <c r="C71" s="3" t="s">
        <v>69</v>
      </c>
      <c r="D71" t="str">
        <f>INDEX(Sheet3!B:B, MATCH(maki!B71,Sheet3!A:A,0))</f>
        <v>building</v>
      </c>
    </row>
    <row r="72" spans="1:4" x14ac:dyDescent="0.3">
      <c r="A72" s="3" t="s">
        <v>70</v>
      </c>
      <c r="B72" s="3" t="s">
        <v>239</v>
      </c>
      <c r="C72" s="3" t="s">
        <v>313</v>
      </c>
      <c r="D72" t="str">
        <f>INDEX(Sheet3!B:B, MATCH(maki!B72,Sheet3!A:A,0))</f>
        <v>arts_and_entertainment</v>
      </c>
    </row>
    <row r="73" spans="1:4" x14ac:dyDescent="0.3">
      <c r="A73" s="3" t="s">
        <v>71</v>
      </c>
      <c r="B73" s="3" t="s">
        <v>71</v>
      </c>
      <c r="C73" s="3" t="s">
        <v>84</v>
      </c>
      <c r="D73" t="str">
        <f>INDEX(Sheet3!B:B, MATCH(maki!B73,Sheet3!A:A,0))</f>
        <v>industrial</v>
      </c>
    </row>
    <row r="74" spans="1:4" x14ac:dyDescent="0.3">
      <c r="A74" s="3" t="s">
        <v>72</v>
      </c>
      <c r="B74" s="3" t="s">
        <v>116</v>
      </c>
      <c r="C74" s="3" t="s">
        <v>116</v>
      </c>
      <c r="D74" t="str">
        <f>INDEX(Sheet3!B:B, MATCH(maki!B74,Sheet3!A:A,0))</f>
        <v>lodging</v>
      </c>
    </row>
    <row r="75" spans="1:4" x14ac:dyDescent="0.3">
      <c r="A75" s="3" t="s">
        <v>73</v>
      </c>
      <c r="B75" s="3" t="s">
        <v>220</v>
      </c>
      <c r="C75" s="3" t="s">
        <v>368</v>
      </c>
      <c r="D75" t="str">
        <f>INDEX(Sheet3!B:B, MATCH(maki!B75,Sheet3!A:A,0))</f>
        <v>food_and_drink</v>
      </c>
    </row>
    <row r="76" spans="1:4" x14ac:dyDescent="0.3">
      <c r="A76" s="3" t="s">
        <v>74</v>
      </c>
      <c r="B76" s="3" t="s">
        <v>245</v>
      </c>
      <c r="C76" s="3" t="s">
        <v>369</v>
      </c>
      <c r="D76" t="str">
        <f>INDEX(Sheet3!B:B, MATCH(maki!B76,Sheet3!A:A,0))</f>
        <v>motorist</v>
      </c>
    </row>
    <row r="77" spans="1:4" x14ac:dyDescent="0.3">
      <c r="A77" s="3" t="s">
        <v>75</v>
      </c>
      <c r="B77" s="3" t="s">
        <v>236</v>
      </c>
      <c r="C77" s="3" t="s">
        <v>236</v>
      </c>
      <c r="D77" t="str">
        <f>INDEX(Sheet3!B:B, MATCH(maki!B77,Sheet3!A:A,0))</f>
        <v>food_and_drink</v>
      </c>
    </row>
    <row r="78" spans="1:4" x14ac:dyDescent="0.3">
      <c r="A78" s="3" t="s">
        <v>76</v>
      </c>
      <c r="B78" s="3" t="s">
        <v>221</v>
      </c>
      <c r="C78" s="3" t="s">
        <v>370</v>
      </c>
      <c r="D78" t="str">
        <f>INDEX(Sheet3!B:B, MATCH(maki!B78,Sheet3!A:A,0))</f>
        <v>public_facilities</v>
      </c>
    </row>
    <row r="79" spans="1:4" x14ac:dyDescent="0.3">
      <c r="A79" s="3" t="s">
        <v>77</v>
      </c>
      <c r="B79" s="3" t="s">
        <v>225</v>
      </c>
      <c r="C79" t="s">
        <v>204</v>
      </c>
      <c r="D79" t="str">
        <f>INDEX(Sheet3!B:B, MATCH(maki!B79,Sheet3!A:A,0))</f>
        <v>motorist</v>
      </c>
    </row>
    <row r="80" spans="1:4" x14ac:dyDescent="0.3">
      <c r="A80" s="3" t="s">
        <v>78</v>
      </c>
      <c r="B80" t="s">
        <v>204</v>
      </c>
      <c r="C80" t="s">
        <v>204</v>
      </c>
      <c r="D80" t="str">
        <f>INDEX(Sheet3!B:B, MATCH(maki!B80,Sheet3!A:A,0))</f>
        <v>park_like</v>
      </c>
    </row>
    <row r="81" spans="1:4" x14ac:dyDescent="0.3">
      <c r="A81" s="3" t="s">
        <v>79</v>
      </c>
      <c r="B81" s="3" t="s">
        <v>304</v>
      </c>
      <c r="C81" t="s">
        <v>137</v>
      </c>
      <c r="D81" t="str">
        <f>INDEX(Sheet3!B:B, MATCH(maki!B81,Sheet3!A:A,0))</f>
        <v>sport_and_leisure</v>
      </c>
    </row>
    <row r="82" spans="1:4" x14ac:dyDescent="0.3">
      <c r="A82" s="3" t="s">
        <v>80</v>
      </c>
      <c r="B82" s="3" t="s">
        <v>236</v>
      </c>
      <c r="C82" t="s">
        <v>236</v>
      </c>
      <c r="D82" t="str">
        <f>INDEX(Sheet3!B:B, MATCH(maki!B82,Sheet3!A:A,0))</f>
        <v>food_and_drink</v>
      </c>
    </row>
    <row r="83" spans="1:4" x14ac:dyDescent="0.3">
      <c r="A83" s="3" t="s">
        <v>81</v>
      </c>
      <c r="B83" s="3" t="s">
        <v>236</v>
      </c>
      <c r="C83" s="3" t="s">
        <v>236</v>
      </c>
      <c r="D83" t="str">
        <f>INDEX(Sheet3!B:B, MATCH(maki!B83,Sheet3!A:A,0))</f>
        <v>food_and_drink</v>
      </c>
    </row>
    <row r="84" spans="1:4" x14ac:dyDescent="0.3">
      <c r="A84" s="3" t="s">
        <v>82</v>
      </c>
      <c r="B84" s="3" t="s">
        <v>224</v>
      </c>
      <c r="C84" s="3" t="s">
        <v>224</v>
      </c>
      <c r="D84" t="str">
        <f>INDEX(Sheet3!B:B, MATCH(maki!B84,Sheet3!A:A,0))</f>
        <v>food_and_drink_stores</v>
      </c>
    </row>
    <row r="85" spans="1:4" x14ac:dyDescent="0.3">
      <c r="A85" s="3" t="s">
        <v>83</v>
      </c>
      <c r="B85" s="3" t="s">
        <v>305</v>
      </c>
      <c r="C85" s="3" t="s">
        <v>237</v>
      </c>
      <c r="D85" t="str">
        <f>INDEX(Sheet3!B:B, MATCH(maki!B85,Sheet3!A:A,0))</f>
        <v>store_like</v>
      </c>
    </row>
    <row r="86" spans="1:4" x14ac:dyDescent="0.3">
      <c r="A86" s="3" t="s">
        <v>84</v>
      </c>
      <c r="B86" s="3" t="s">
        <v>84</v>
      </c>
      <c r="C86" s="3" t="s">
        <v>84</v>
      </c>
      <c r="D86" t="str">
        <f>INDEX(Sheet3!B:B, MATCH(maki!B86,Sheet3!A:A,0))</f>
        <v>park_like</v>
      </c>
    </row>
    <row r="87" spans="1:4" x14ac:dyDescent="0.3">
      <c r="A87" s="3" t="s">
        <v>85</v>
      </c>
      <c r="B87" s="3" t="s">
        <v>222</v>
      </c>
      <c r="C87" s="3" t="s">
        <v>222</v>
      </c>
      <c r="D87" t="str">
        <f>INDEX(Sheet3!B:B, MATCH(maki!B87,Sheet3!A:A,0))</f>
        <v>motorist</v>
      </c>
    </row>
    <row r="88" spans="1:4" x14ac:dyDescent="0.3">
      <c r="A88" s="3" t="s">
        <v>86</v>
      </c>
      <c r="B88" s="3" t="s">
        <v>237</v>
      </c>
      <c r="C88" s="3" t="s">
        <v>237</v>
      </c>
      <c r="D88" t="str">
        <f>INDEX(Sheet3!B:B, MATCH(maki!B88,Sheet3!A:A,0))</f>
        <v>store_like</v>
      </c>
    </row>
    <row r="89" spans="1:4" x14ac:dyDescent="0.3">
      <c r="A89" s="3" t="s">
        <v>87</v>
      </c>
      <c r="B89" s="3" t="s">
        <v>223</v>
      </c>
      <c r="C89" s="3" t="s">
        <v>223</v>
      </c>
      <c r="D89" t="str">
        <f>INDEX(Sheet3!B:B, MATCH(maki!B89,Sheet3!A:A,0))</f>
        <v>sport_and_leisure</v>
      </c>
    </row>
    <row r="90" spans="1:4" x14ac:dyDescent="0.3">
      <c r="A90" s="3" t="s">
        <v>88</v>
      </c>
      <c r="B90" s="3" t="s">
        <v>241</v>
      </c>
      <c r="C90" s="3" t="s">
        <v>381</v>
      </c>
      <c r="D90" t="str">
        <f>INDEX(Sheet3!B:B, MATCH(maki!B90,Sheet3!A:A,0))</f>
        <v>building</v>
      </c>
    </row>
    <row r="91" spans="1:4" x14ac:dyDescent="0.3">
      <c r="A91" s="3" t="s">
        <v>89</v>
      </c>
      <c r="B91" s="3" t="s">
        <v>224</v>
      </c>
      <c r="C91" s="3" t="s">
        <v>224</v>
      </c>
      <c r="D91" t="str">
        <f>INDEX(Sheet3!B:B, MATCH(maki!B91,Sheet3!A:A,0))</f>
        <v>food_and_drink_stores</v>
      </c>
    </row>
    <row r="92" spans="1:4" x14ac:dyDescent="0.3">
      <c r="A92" s="3" t="s">
        <v>90</v>
      </c>
      <c r="B92" s="3" t="s">
        <v>116</v>
      </c>
      <c r="C92" s="3" t="s">
        <v>116</v>
      </c>
      <c r="D92" t="str">
        <f>INDEX(Sheet3!B:B, MATCH(maki!B92,Sheet3!A:A,0))</f>
        <v>lodging</v>
      </c>
    </row>
    <row r="93" spans="1:4" x14ac:dyDescent="0.3">
      <c r="A93" s="3" t="s">
        <v>91</v>
      </c>
      <c r="B93" s="3" t="s">
        <v>304</v>
      </c>
      <c r="C93" t="s">
        <v>137</v>
      </c>
      <c r="D93" t="str">
        <f>INDEX(Sheet3!B:B, MATCH(maki!B93,Sheet3!A:A,0))</f>
        <v>sport_and_leisure</v>
      </c>
    </row>
    <row r="94" spans="1:4" x14ac:dyDescent="0.3">
      <c r="A94" s="3" t="s">
        <v>92</v>
      </c>
      <c r="B94" s="3" t="s">
        <v>237</v>
      </c>
      <c r="C94" s="3" t="s">
        <v>237</v>
      </c>
      <c r="D94" t="str">
        <f>INDEX(Sheet3!B:B, MATCH(maki!B94,Sheet3!A:A,0))</f>
        <v>store_like</v>
      </c>
    </row>
    <row r="95" spans="1:4" x14ac:dyDescent="0.3">
      <c r="A95" s="3" t="s">
        <v>93</v>
      </c>
      <c r="B95" s="3" t="s">
        <v>306</v>
      </c>
      <c r="C95" s="3" t="s">
        <v>237</v>
      </c>
      <c r="D95" t="str">
        <f>INDEX(Sheet3!B:B, MATCH(maki!B95,Sheet3!A:A,0))</f>
        <v>store_like</v>
      </c>
    </row>
    <row r="96" spans="1:4" x14ac:dyDescent="0.3">
      <c r="A96" s="3" t="s">
        <v>94</v>
      </c>
      <c r="B96" s="3" t="s">
        <v>94</v>
      </c>
      <c r="C96" s="3" t="s">
        <v>94</v>
      </c>
      <c r="D96" t="str">
        <f>INDEX(Sheet3!B:B, MATCH(maki!B96,Sheet3!A:A,0))</f>
        <v>motorist</v>
      </c>
    </row>
    <row r="97" spans="1:4" x14ac:dyDescent="0.3">
      <c r="A97" s="3" t="s">
        <v>95</v>
      </c>
      <c r="B97" s="3" t="s">
        <v>129</v>
      </c>
      <c r="C97" s="3" t="s">
        <v>200</v>
      </c>
      <c r="D97" t="str">
        <f>INDEX(Sheet3!B:B, MATCH(maki!B97,Sheet3!A:A,0))</f>
        <v>park_like</v>
      </c>
    </row>
    <row r="98" spans="1:4" x14ac:dyDescent="0.3">
      <c r="A98" s="3" t="s">
        <v>96</v>
      </c>
      <c r="B98" s="3" t="s">
        <v>231</v>
      </c>
      <c r="C98" s="3" t="s">
        <v>373</v>
      </c>
      <c r="D98" t="str">
        <f>INDEX(Sheet3!B:B, MATCH(maki!B98,Sheet3!A:A,0))</f>
        <v>religion</v>
      </c>
    </row>
    <row r="99" spans="1:4" x14ac:dyDescent="0.3">
      <c r="A99" s="3" t="s">
        <v>97</v>
      </c>
      <c r="B99" s="3" t="s">
        <v>121</v>
      </c>
      <c r="C99" s="3" t="s">
        <v>121</v>
      </c>
      <c r="D99" t="str">
        <f>INDEX(Sheet3!B:B, MATCH(maki!B99,Sheet3!A:A,0))</f>
        <v>historic</v>
      </c>
    </row>
    <row r="100" spans="1:4" x14ac:dyDescent="0.3">
      <c r="A100" s="3" t="s">
        <v>98</v>
      </c>
      <c r="B100" s="3" t="s">
        <v>121</v>
      </c>
      <c r="C100" s="3" t="s">
        <v>121</v>
      </c>
      <c r="D100" t="str">
        <f>INDEX(Sheet3!B:B, MATCH(maki!B100,Sheet3!A:A,0))</f>
        <v>historic</v>
      </c>
    </row>
    <row r="101" spans="1:4" x14ac:dyDescent="0.3">
      <c r="A101" s="3" t="s">
        <v>99</v>
      </c>
      <c r="B101" s="3" t="s">
        <v>305</v>
      </c>
      <c r="C101" s="3" t="s">
        <v>237</v>
      </c>
      <c r="D101" t="str">
        <f>INDEX(Sheet3!B:B, MATCH(maki!B101,Sheet3!A:A,0))</f>
        <v>store_like</v>
      </c>
    </row>
    <row r="102" spans="1:4" x14ac:dyDescent="0.3">
      <c r="A102" s="3" t="s">
        <v>100</v>
      </c>
      <c r="B102" s="3" t="s">
        <v>306</v>
      </c>
      <c r="C102" s="3" t="s">
        <v>237</v>
      </c>
      <c r="D102" t="str">
        <f>INDEX(Sheet3!B:B, MATCH(maki!B102,Sheet3!A:A,0))</f>
        <v>store_like</v>
      </c>
    </row>
    <row r="103" spans="1:4" x14ac:dyDescent="0.3">
      <c r="A103" s="3" t="s">
        <v>101</v>
      </c>
      <c r="B103" s="3" t="s">
        <v>101</v>
      </c>
      <c r="C103" s="3" t="s">
        <v>101</v>
      </c>
      <c r="D103" t="str">
        <f>INDEX(Sheet3!B:B, MATCH(maki!B103,Sheet3!A:A,0))</f>
        <v>medical</v>
      </c>
    </row>
    <row r="104" spans="1:4" x14ac:dyDescent="0.3">
      <c r="A104" s="3" t="s">
        <v>102</v>
      </c>
      <c r="B104" s="3" t="s">
        <v>116</v>
      </c>
      <c r="C104" s="3" t="s">
        <v>116</v>
      </c>
      <c r="D104" t="str">
        <f>INDEX(Sheet3!B:B, MATCH(maki!B104,Sheet3!A:A,0))</f>
        <v>lodging</v>
      </c>
    </row>
    <row r="105" spans="1:4" x14ac:dyDescent="0.3">
      <c r="A105" s="3" t="s">
        <v>103</v>
      </c>
      <c r="B105" s="3" t="s">
        <v>226</v>
      </c>
      <c r="C105" s="3" t="s">
        <v>371</v>
      </c>
      <c r="D105" t="str">
        <f>INDEX(Sheet3!B:B, MATCH(maki!B105,Sheet3!A:A,0))</f>
        <v>food_and_drink_stores</v>
      </c>
    </row>
    <row r="106" spans="1:4" x14ac:dyDescent="0.3">
      <c r="A106" s="3" t="s">
        <v>104</v>
      </c>
      <c r="B106" s="3" t="s">
        <v>129</v>
      </c>
      <c r="C106" s="3" t="s">
        <v>129</v>
      </c>
      <c r="D106" t="str">
        <f>INDEX(Sheet3!B:B, MATCH(maki!B106,Sheet3!A:A,0))</f>
        <v>park_like</v>
      </c>
    </row>
    <row r="107" spans="1:4" x14ac:dyDescent="0.3">
      <c r="A107" s="3" t="s">
        <v>105</v>
      </c>
      <c r="B107" s="3" t="s">
        <v>236</v>
      </c>
      <c r="C107" s="3" t="s">
        <v>236</v>
      </c>
      <c r="D107" t="str">
        <f>INDEX(Sheet3!B:B, MATCH(maki!B107,Sheet3!A:A,0))</f>
        <v>food_and_drink</v>
      </c>
    </row>
    <row r="108" spans="1:4" x14ac:dyDescent="0.3">
      <c r="A108" s="3" t="s">
        <v>106</v>
      </c>
      <c r="B108" s="3" t="s">
        <v>116</v>
      </c>
      <c r="C108" s="3" t="s">
        <v>116</v>
      </c>
      <c r="D108" t="str">
        <f>INDEX(Sheet3!B:B, MATCH(maki!B108,Sheet3!A:A,0))</f>
        <v>lodging</v>
      </c>
    </row>
    <row r="109" spans="1:4" x14ac:dyDescent="0.3">
      <c r="A109" s="3" t="s">
        <v>107</v>
      </c>
      <c r="B109" s="3" t="s">
        <v>228</v>
      </c>
      <c r="C109" s="3" t="s">
        <v>237</v>
      </c>
      <c r="D109" t="str">
        <f>INDEX(Sheet3!B:B, MATCH(maki!B109,Sheet3!A:A,0))</f>
        <v>commercial_services</v>
      </c>
    </row>
    <row r="110" spans="1:4" x14ac:dyDescent="0.3">
      <c r="A110" s="3" t="s">
        <v>108</v>
      </c>
      <c r="B110" s="3" t="s">
        <v>4</v>
      </c>
      <c r="C110" s="3" t="s">
        <v>4</v>
      </c>
      <c r="D110" t="str">
        <f>INDEX(Sheet3!B:B, MATCH(maki!B110,Sheet3!A:A,0))</f>
        <v>motorist</v>
      </c>
    </row>
    <row r="111" spans="1:4" x14ac:dyDescent="0.3">
      <c r="A111" s="3" t="s">
        <v>109</v>
      </c>
      <c r="B111" s="3" t="s">
        <v>209</v>
      </c>
      <c r="C111" s="3" t="s">
        <v>209</v>
      </c>
      <c r="D111" t="str">
        <f>INDEX(Sheet3!B:B, MATCH(maki!B111,Sheet3!A:A,0))</f>
        <v>food_and_drink</v>
      </c>
    </row>
    <row r="112" spans="1:4" x14ac:dyDescent="0.3">
      <c r="A112" s="3" t="s">
        <v>110</v>
      </c>
      <c r="B112" s="3" t="s">
        <v>307</v>
      </c>
      <c r="C112" s="3" t="s">
        <v>237</v>
      </c>
      <c r="D112" t="str">
        <f>INDEX(Sheet3!B:B, MATCH(maki!B112,Sheet3!A:A,0))</f>
        <v>store_like</v>
      </c>
    </row>
    <row r="113" spans="1:4" x14ac:dyDescent="0.3">
      <c r="A113" s="3" t="s">
        <v>111</v>
      </c>
      <c r="B113" s="3" t="s">
        <v>209</v>
      </c>
      <c r="C113" s="3" t="s">
        <v>209</v>
      </c>
      <c r="D113" t="str">
        <f>INDEX(Sheet3!B:B, MATCH(maki!B113,Sheet3!A:A,0))</f>
        <v>food_and_drink</v>
      </c>
    </row>
    <row r="114" spans="1:4" x14ac:dyDescent="0.3">
      <c r="A114" s="3" t="s">
        <v>112</v>
      </c>
      <c r="B114" s="3" t="s">
        <v>112</v>
      </c>
      <c r="C114" s="3" t="s">
        <v>112</v>
      </c>
      <c r="D114" t="str">
        <f>INDEX(Sheet3!B:B, MATCH(maki!B114,Sheet3!A:A,0))</f>
        <v>education</v>
      </c>
    </row>
    <row r="115" spans="1:4" x14ac:dyDescent="0.3">
      <c r="A115" s="3" t="s">
        <v>113</v>
      </c>
      <c r="B115" s="3" t="s">
        <v>248</v>
      </c>
      <c r="C115" s="3" t="s">
        <v>374</v>
      </c>
      <c r="D115" t="str">
        <f>INDEX(Sheet3!B:B, MATCH(maki!B115,Sheet3!A:A,0))</f>
        <v>motorist</v>
      </c>
    </row>
    <row r="116" spans="1:4" x14ac:dyDescent="0.3">
      <c r="A116" s="3" t="s">
        <v>114</v>
      </c>
      <c r="B116" s="3" t="s">
        <v>202</v>
      </c>
      <c r="C116" t="s">
        <v>359</v>
      </c>
      <c r="D116" t="str">
        <f>INDEX(Sheet3!B:B, MATCH(maki!B116,Sheet3!A:A,0))</f>
        <v>food_and_drink_stores</v>
      </c>
    </row>
    <row r="117" spans="1:4" x14ac:dyDescent="0.3">
      <c r="A117" s="3" t="s">
        <v>115</v>
      </c>
      <c r="B117" s="3" t="s">
        <v>241</v>
      </c>
      <c r="C117" s="3" t="s">
        <v>381</v>
      </c>
      <c r="D117" t="str">
        <f>INDEX(Sheet3!B:B, MATCH(maki!B117,Sheet3!A:A,0))</f>
        <v>building</v>
      </c>
    </row>
    <row r="118" spans="1:4" x14ac:dyDescent="0.3">
      <c r="A118" s="3" t="s">
        <v>116</v>
      </c>
      <c r="B118" s="3" t="s">
        <v>116</v>
      </c>
      <c r="C118" s="3" t="s">
        <v>116</v>
      </c>
      <c r="D118" t="str">
        <f>INDEX(Sheet3!B:B, MATCH(maki!B118,Sheet3!A:A,0))</f>
        <v>lodging</v>
      </c>
    </row>
    <row r="119" spans="1:4" x14ac:dyDescent="0.3">
      <c r="A119" s="3" t="s">
        <v>117</v>
      </c>
      <c r="B119" s="3" t="s">
        <v>224</v>
      </c>
      <c r="C119" s="3" t="s">
        <v>224</v>
      </c>
      <c r="D119" t="str">
        <f>INDEX(Sheet3!B:B, MATCH(maki!B119,Sheet3!A:A,0))</f>
        <v>food_and_drink_stores</v>
      </c>
    </row>
    <row r="120" spans="1:4" x14ac:dyDescent="0.3">
      <c r="A120" s="3" t="s">
        <v>118</v>
      </c>
      <c r="B120" s="3" t="s">
        <v>236</v>
      </c>
      <c r="C120" s="3" t="s">
        <v>236</v>
      </c>
      <c r="D120" t="str">
        <f>INDEX(Sheet3!B:B, MATCH(maki!B120,Sheet3!A:A,0))</f>
        <v>food_and_drink</v>
      </c>
    </row>
    <row r="121" spans="1:4" x14ac:dyDescent="0.3">
      <c r="A121" s="3" t="s">
        <v>119</v>
      </c>
      <c r="B121" s="3" t="s">
        <v>220</v>
      </c>
      <c r="C121" s="3" t="s">
        <v>368</v>
      </c>
      <c r="D121" t="str">
        <f>INDEX(Sheet3!B:B, MATCH(maki!B121,Sheet3!A:A,0))</f>
        <v>food_and_drink</v>
      </c>
    </row>
    <row r="122" spans="1:4" x14ac:dyDescent="0.3">
      <c r="A122" s="3" t="s">
        <v>120</v>
      </c>
      <c r="B122" s="3" t="s">
        <v>217</v>
      </c>
      <c r="C122" s="3" t="s">
        <v>101</v>
      </c>
      <c r="D122" t="str">
        <f>INDEX(Sheet3!B:B, MATCH(maki!B122,Sheet3!A:A,0))</f>
        <v>medical</v>
      </c>
    </row>
    <row r="123" spans="1:4" x14ac:dyDescent="0.3">
      <c r="A123" s="3" t="s">
        <v>121</v>
      </c>
      <c r="B123" s="3" t="s">
        <v>121</v>
      </c>
      <c r="C123" s="3" t="s">
        <v>121</v>
      </c>
      <c r="D123" t="str">
        <f>INDEX(Sheet3!B:B, MATCH(maki!B123,Sheet3!A:A,0))</f>
        <v>historic</v>
      </c>
    </row>
    <row r="124" spans="1:4" x14ac:dyDescent="0.3">
      <c r="A124" s="3" t="s">
        <v>122</v>
      </c>
      <c r="B124" s="3" t="s">
        <v>235</v>
      </c>
      <c r="C124" s="3" t="s">
        <v>379</v>
      </c>
      <c r="D124" t="str">
        <f>INDEX(Sheet3!B:B, MATCH(maki!B124,Sheet3!A:A,0))</f>
        <v>religion</v>
      </c>
    </row>
    <row r="125" spans="1:4" x14ac:dyDescent="0.3">
      <c r="A125" s="3" t="s">
        <v>123</v>
      </c>
      <c r="B125" s="3" t="s">
        <v>116</v>
      </c>
      <c r="C125" s="3" t="s">
        <v>116</v>
      </c>
      <c r="D125" t="str">
        <f>INDEX(Sheet3!B:B, MATCH(maki!B125,Sheet3!A:A,0))</f>
        <v>lodging</v>
      </c>
    </row>
    <row r="126" spans="1:4" x14ac:dyDescent="0.3">
      <c r="A126" s="3" t="s">
        <v>124</v>
      </c>
      <c r="B126" s="3" t="s">
        <v>213</v>
      </c>
      <c r="C126" s="3" t="s">
        <v>213</v>
      </c>
      <c r="D126" t="str">
        <f>INDEX(Sheet3!B:B, MATCH(maki!B126,Sheet3!A:A,0))</f>
        <v>arts_and_entertainment</v>
      </c>
    </row>
    <row r="127" spans="1:4" x14ac:dyDescent="0.3">
      <c r="A127" s="3" t="s">
        <v>125</v>
      </c>
      <c r="B127" s="3" t="s">
        <v>237</v>
      </c>
      <c r="C127" s="3" t="s">
        <v>313</v>
      </c>
      <c r="D127" t="str">
        <f>INDEX(Sheet3!B:B, MATCH(maki!B127,Sheet3!A:A,0))</f>
        <v>store_like</v>
      </c>
    </row>
    <row r="128" spans="1:4" x14ac:dyDescent="0.3">
      <c r="A128" s="3" t="s">
        <v>126</v>
      </c>
      <c r="B128" s="3" t="s">
        <v>126</v>
      </c>
      <c r="C128" s="3" t="s">
        <v>126</v>
      </c>
      <c r="D128" t="str">
        <f>INDEX(Sheet3!B:B, MATCH(maki!B128,Sheet3!A:A,0))</f>
        <v>arts_and_entertainment</v>
      </c>
    </row>
    <row r="129" spans="1:4" x14ac:dyDescent="0.3">
      <c r="A129" s="3" t="s">
        <v>127</v>
      </c>
      <c r="B129" s="3" t="s">
        <v>129</v>
      </c>
      <c r="C129" s="3" t="s">
        <v>129</v>
      </c>
      <c r="D129" t="str">
        <f>INDEX(Sheet3!B:B, MATCH(maki!B129,Sheet3!A:A,0))</f>
        <v>park_like</v>
      </c>
    </row>
    <row r="130" spans="1:4" x14ac:dyDescent="0.3">
      <c r="A130" s="3" t="s">
        <v>128</v>
      </c>
      <c r="B130" s="3" t="s">
        <v>16</v>
      </c>
      <c r="C130" s="3" t="s">
        <v>16</v>
      </c>
      <c r="D130" t="str">
        <f>INDEX(Sheet3!B:B, MATCH(maki!B130,Sheet3!A:A,0))</f>
        <v>food_and_drink</v>
      </c>
    </row>
    <row r="131" spans="1:4" x14ac:dyDescent="0.3">
      <c r="A131" s="3" t="s">
        <v>129</v>
      </c>
      <c r="B131" s="3" t="s">
        <v>129</v>
      </c>
      <c r="C131" s="3" t="s">
        <v>129</v>
      </c>
      <c r="D131" t="str">
        <f>INDEX(Sheet3!B:B, MATCH(maki!B131,Sheet3!A:A,0))</f>
        <v>park_like</v>
      </c>
    </row>
    <row r="132" spans="1:4" x14ac:dyDescent="0.3">
      <c r="A132" s="3" t="s">
        <v>130</v>
      </c>
      <c r="B132" s="3" t="s">
        <v>131</v>
      </c>
      <c r="C132" t="s">
        <v>372</v>
      </c>
      <c r="D132" t="str">
        <f>INDEX(Sheet3!B:B, MATCH(maki!B132,Sheet3!A:A,0))</f>
        <v>motorist</v>
      </c>
    </row>
    <row r="133" spans="1:4" x14ac:dyDescent="0.3">
      <c r="A133" s="3" t="s">
        <v>131</v>
      </c>
      <c r="B133" s="3" t="s">
        <v>131</v>
      </c>
      <c r="C133" s="3" t="s">
        <v>129</v>
      </c>
      <c r="D133" t="str">
        <f>INDEX(Sheet3!B:B, MATCH(maki!B133,Sheet3!A:A,0))</f>
        <v>motorist</v>
      </c>
    </row>
    <row r="134" spans="1:4" x14ac:dyDescent="0.3">
      <c r="A134" s="3" t="s">
        <v>132</v>
      </c>
      <c r="B134" s="3" t="s">
        <v>239</v>
      </c>
      <c r="C134" s="3" t="s">
        <v>239</v>
      </c>
      <c r="D134" t="str">
        <f>INDEX(Sheet3!B:B, MATCH(maki!B134,Sheet3!A:A,0))</f>
        <v>arts_and_entertainment</v>
      </c>
    </row>
    <row r="135" spans="1:4" x14ac:dyDescent="0.3">
      <c r="A135" s="3" t="s">
        <v>133</v>
      </c>
      <c r="B135" s="3" t="s">
        <v>237</v>
      </c>
      <c r="C135" s="3" t="s">
        <v>237</v>
      </c>
      <c r="D135" t="str">
        <f>INDEX(Sheet3!B:B, MATCH(maki!B135,Sheet3!A:A,0))</f>
        <v>store_like</v>
      </c>
    </row>
    <row r="136" spans="1:4" x14ac:dyDescent="0.3">
      <c r="A136" s="3" t="s">
        <v>134</v>
      </c>
      <c r="B136" s="3" t="s">
        <v>134</v>
      </c>
      <c r="C136" s="3" t="s">
        <v>134</v>
      </c>
      <c r="D136" t="str">
        <f>INDEX(Sheet3!B:B, MATCH(maki!B136,Sheet3!A:A,0))</f>
        <v>medical</v>
      </c>
    </row>
    <row r="137" spans="1:4" x14ac:dyDescent="0.3">
      <c r="A137" s="3" t="s">
        <v>135</v>
      </c>
      <c r="B137" s="3" t="s">
        <v>230</v>
      </c>
      <c r="C137" s="3" t="s">
        <v>372</v>
      </c>
      <c r="D137" t="str">
        <f>INDEX(Sheet3!B:B, MATCH(maki!B137,Sheet3!A:A,0))</f>
        <v>park_like</v>
      </c>
    </row>
    <row r="138" spans="1:4" x14ac:dyDescent="0.3">
      <c r="A138" s="3" t="s">
        <v>136</v>
      </c>
      <c r="B138" s="3" t="s">
        <v>309</v>
      </c>
      <c r="C138" s="3" t="s">
        <v>236</v>
      </c>
      <c r="D138" t="str">
        <f>INDEX(Sheet3!B:B, MATCH(maki!B138,Sheet3!A:A,0))</f>
        <v>food_and_drink</v>
      </c>
    </row>
    <row r="139" spans="1:4" x14ac:dyDescent="0.3">
      <c r="A139" s="3" t="s">
        <v>137</v>
      </c>
      <c r="B139" s="3" t="s">
        <v>137</v>
      </c>
      <c r="C139" s="3" t="s">
        <v>137</v>
      </c>
      <c r="D139" t="str">
        <f>INDEX(Sheet3!B:B, MATCH(maki!B139,Sheet3!A:A,0))</f>
        <v>park_like</v>
      </c>
    </row>
    <row r="140" spans="1:4" x14ac:dyDescent="0.3">
      <c r="A140" s="3" t="s">
        <v>138</v>
      </c>
      <c r="B140" s="3" t="s">
        <v>237</v>
      </c>
      <c r="C140" s="3" t="s">
        <v>237</v>
      </c>
      <c r="D140" t="str">
        <f>INDEX(Sheet3!B:B, MATCH(maki!B140,Sheet3!A:A,0))</f>
        <v>store_like</v>
      </c>
    </row>
    <row r="141" spans="1:4" x14ac:dyDescent="0.3">
      <c r="A141" s="3" t="s">
        <v>139</v>
      </c>
      <c r="B141" s="3" t="s">
        <v>139</v>
      </c>
      <c r="C141" s="3" t="s">
        <v>139</v>
      </c>
      <c r="D141" t="str">
        <f>INDEX(Sheet3!B:B, MATCH(maki!B141,Sheet3!A:A,0))</f>
        <v>public_facilities</v>
      </c>
    </row>
    <row r="142" spans="1:4" x14ac:dyDescent="0.3">
      <c r="A142" s="3" t="s">
        <v>140</v>
      </c>
      <c r="B142" s="3" t="s">
        <v>232</v>
      </c>
      <c r="C142" s="3" t="s">
        <v>232</v>
      </c>
      <c r="D142" t="str">
        <f>INDEX(Sheet3!B:B, MATCH(maki!B142,Sheet3!A:A,0))</f>
        <v>public_facilities</v>
      </c>
    </row>
    <row r="143" spans="1:4" x14ac:dyDescent="0.3">
      <c r="A143" s="3" t="s">
        <v>141</v>
      </c>
      <c r="B143" s="3" t="s">
        <v>153</v>
      </c>
      <c r="C143" s="3" t="s">
        <v>153</v>
      </c>
      <c r="D143" t="str">
        <f>INDEX(Sheet3!B:B, MATCH(maki!B143,Sheet3!A:A,0))</f>
        <v>education</v>
      </c>
    </row>
    <row r="144" spans="1:4" x14ac:dyDescent="0.3">
      <c r="A144" s="3" t="s">
        <v>142</v>
      </c>
      <c r="B144" s="3" t="s">
        <v>153</v>
      </c>
      <c r="C144" s="3" t="s">
        <v>153</v>
      </c>
      <c r="D144" t="str">
        <f>INDEX(Sheet3!B:B, MATCH(maki!B144,Sheet3!A:A,0))</f>
        <v>education</v>
      </c>
    </row>
    <row r="145" spans="1:4" x14ac:dyDescent="0.3">
      <c r="A145" s="3" t="s">
        <v>143</v>
      </c>
      <c r="B145" s="3" t="s">
        <v>143</v>
      </c>
      <c r="C145" s="3" t="s">
        <v>143</v>
      </c>
      <c r="D145" t="str">
        <f>INDEX(Sheet3!B:B, MATCH(maki!B145,Sheet3!A:A,0))</f>
        <v>public_facilities</v>
      </c>
    </row>
    <row r="146" spans="1:4" x14ac:dyDescent="0.3">
      <c r="A146" s="3" t="s">
        <v>144</v>
      </c>
      <c r="B146" s="3" t="s">
        <v>116</v>
      </c>
      <c r="C146" s="3" t="s">
        <v>116</v>
      </c>
      <c r="D146" t="str">
        <f>INDEX(Sheet3!B:B, MATCH(maki!B146,Sheet3!A:A,0))</f>
        <v>lodging</v>
      </c>
    </row>
    <row r="147" spans="1:4" x14ac:dyDescent="0.3">
      <c r="A147" s="3" t="s">
        <v>145</v>
      </c>
      <c r="B147" s="3" t="s">
        <v>16</v>
      </c>
      <c r="C147" s="3" t="s">
        <v>16</v>
      </c>
      <c r="D147" t="str">
        <f>INDEX(Sheet3!B:B, MATCH(maki!B147,Sheet3!A:A,0))</f>
        <v>food_and_drink</v>
      </c>
    </row>
    <row r="148" spans="1:4" x14ac:dyDescent="0.3">
      <c r="A148" s="3" t="s">
        <v>146</v>
      </c>
      <c r="B148" s="3" t="s">
        <v>238</v>
      </c>
      <c r="C148" s="3" t="s">
        <v>238</v>
      </c>
      <c r="D148" t="str">
        <f>INDEX(Sheet3!B:B, MATCH(maki!B148,Sheet3!A:A,0))</f>
        <v>sport_and_leisure</v>
      </c>
    </row>
    <row r="149" spans="1:4" x14ac:dyDescent="0.3">
      <c r="A149" s="3" t="s">
        <v>147</v>
      </c>
      <c r="B149" s="3" t="s">
        <v>240</v>
      </c>
      <c r="C149" s="3" t="s">
        <v>240</v>
      </c>
      <c r="D149" t="str">
        <f>INDEX(Sheet3!B:B, MATCH(maki!B149,Sheet3!A:A,0))</f>
        <v>public_facilities</v>
      </c>
    </row>
    <row r="150" spans="1:4" x14ac:dyDescent="0.3">
      <c r="A150" s="3" t="s">
        <v>148</v>
      </c>
      <c r="B150" s="3" t="s">
        <v>116</v>
      </c>
      <c r="C150" s="3" t="s">
        <v>116</v>
      </c>
      <c r="D150" t="str">
        <f>INDEX(Sheet3!B:B, MATCH(maki!B150,Sheet3!A:A,0))</f>
        <v>lodging</v>
      </c>
    </row>
    <row r="151" spans="1:4" x14ac:dyDescent="0.3">
      <c r="A151" s="3" t="s">
        <v>149</v>
      </c>
      <c r="B151" s="3" t="s">
        <v>116</v>
      </c>
      <c r="C151" s="3" t="s">
        <v>116</v>
      </c>
      <c r="D151" t="str">
        <f>INDEX(Sheet3!B:B, MATCH(maki!B151,Sheet3!A:A,0))</f>
        <v>lodging</v>
      </c>
    </row>
    <row r="152" spans="1:4" x14ac:dyDescent="0.3">
      <c r="A152" s="3" t="s">
        <v>150</v>
      </c>
      <c r="B152" s="3" t="s">
        <v>131</v>
      </c>
      <c r="C152" s="3" t="s">
        <v>313</v>
      </c>
      <c r="D152" t="str">
        <f>INDEX(Sheet3!B:B, MATCH(maki!B152,Sheet3!A:A,0))</f>
        <v>motorist</v>
      </c>
    </row>
    <row r="153" spans="1:4" x14ac:dyDescent="0.3">
      <c r="A153" s="3" t="s">
        <v>151</v>
      </c>
      <c r="B153" s="3" t="s">
        <v>203</v>
      </c>
      <c r="C153" s="3" t="s">
        <v>360</v>
      </c>
      <c r="D153" t="str">
        <f>INDEX(Sheet3!B:B, MATCH(maki!B153,Sheet3!A:A,0))</f>
        <v>sport_and_leisure</v>
      </c>
    </row>
    <row r="154" spans="1:4" x14ac:dyDescent="0.3">
      <c r="A154" s="3" t="s">
        <v>152</v>
      </c>
      <c r="B154" s="3" t="s">
        <v>236</v>
      </c>
      <c r="C154" s="3" t="s">
        <v>236</v>
      </c>
      <c r="D154" t="str">
        <f>INDEX(Sheet3!B:B, MATCH(maki!B154,Sheet3!A:A,0))</f>
        <v>food_and_drink</v>
      </c>
    </row>
    <row r="155" spans="1:4" x14ac:dyDescent="0.3">
      <c r="A155" s="3" t="s">
        <v>153</v>
      </c>
      <c r="B155" s="3" t="s">
        <v>153</v>
      </c>
      <c r="C155" s="3" t="s">
        <v>153</v>
      </c>
      <c r="D155" t="str">
        <f>INDEX(Sheet3!B:B, MATCH(maki!B155,Sheet3!A:A,0))</f>
        <v>education</v>
      </c>
    </row>
    <row r="156" spans="1:4" x14ac:dyDescent="0.3">
      <c r="A156" s="3" t="s">
        <v>154</v>
      </c>
      <c r="B156" s="3" t="s">
        <v>121</v>
      </c>
      <c r="C156" s="3" t="s">
        <v>121</v>
      </c>
      <c r="D156" t="str">
        <f>INDEX(Sheet3!B:B, MATCH(maki!B156,Sheet3!A:A,0))</f>
        <v>historic</v>
      </c>
    </row>
    <row r="157" spans="1:4" x14ac:dyDescent="0.3">
      <c r="A157" s="3" t="s">
        <v>155</v>
      </c>
      <c r="B157" s="3" t="s">
        <v>310</v>
      </c>
      <c r="C157" s="3" t="s">
        <v>236</v>
      </c>
      <c r="D157" t="str">
        <f>INDEX(Sheet3!B:B, MATCH(maki!B157,Sheet3!A:A,0))</f>
        <v>food_and_drink</v>
      </c>
    </row>
    <row r="158" spans="1:4" x14ac:dyDescent="0.3">
      <c r="A158" s="3" t="s">
        <v>156</v>
      </c>
      <c r="B158" s="3" t="s">
        <v>153</v>
      </c>
      <c r="C158" s="3" t="s">
        <v>153</v>
      </c>
      <c r="D158" t="str">
        <f>INDEX(Sheet3!B:B, MATCH(maki!B158,Sheet3!A:A,0))</f>
        <v>education</v>
      </c>
    </row>
    <row r="159" spans="1:4" x14ac:dyDescent="0.3">
      <c r="A159" s="3" t="s">
        <v>157</v>
      </c>
      <c r="B159" s="3" t="s">
        <v>311</v>
      </c>
      <c r="C159" s="3" t="s">
        <v>237</v>
      </c>
      <c r="D159" t="str">
        <f>INDEX(Sheet3!B:B, MATCH(maki!B159,Sheet3!A:A,0))</f>
        <v>store_like</v>
      </c>
    </row>
    <row r="160" spans="1:4" x14ac:dyDescent="0.3">
      <c r="A160" s="3" t="s">
        <v>158</v>
      </c>
      <c r="B160" s="3" t="s">
        <v>237</v>
      </c>
      <c r="C160" s="3" t="s">
        <v>237</v>
      </c>
      <c r="D160" t="str">
        <f>INDEX(Sheet3!B:B, MATCH(maki!B160,Sheet3!A:A,0))</f>
        <v>store_like</v>
      </c>
    </row>
    <row r="161" spans="1:4" x14ac:dyDescent="0.3">
      <c r="A161" s="3" t="s">
        <v>159</v>
      </c>
      <c r="B161" s="3" t="s">
        <v>312</v>
      </c>
      <c r="C161" s="3" t="s">
        <v>129</v>
      </c>
      <c r="D161" t="str">
        <f>INDEX(Sheet3!B:B, MATCH(maki!B161,Sheet3!A:A,0))</f>
        <v>sport_and_leisure</v>
      </c>
    </row>
    <row r="162" spans="1:4" x14ac:dyDescent="0.3">
      <c r="A162" s="3" t="s">
        <v>160</v>
      </c>
      <c r="B162" s="3" t="s">
        <v>200</v>
      </c>
      <c r="C162" s="3" t="s">
        <v>200</v>
      </c>
      <c r="D162" t="str">
        <f>INDEX(Sheet3!B:B, MATCH(maki!B162,Sheet3!A:A,0))</f>
        <v>landmark</v>
      </c>
    </row>
    <row r="163" spans="1:4" x14ac:dyDescent="0.3">
      <c r="A163" s="3" t="s">
        <v>161</v>
      </c>
      <c r="B163" s="3" t="s">
        <v>217</v>
      </c>
      <c r="C163" s="3" t="s">
        <v>237</v>
      </c>
      <c r="D163" t="str">
        <f>INDEX(Sheet3!B:B, MATCH(maki!B163,Sheet3!A:A,0))</f>
        <v>medical</v>
      </c>
    </row>
    <row r="164" spans="1:4" x14ac:dyDescent="0.3">
      <c r="A164" s="3" t="s">
        <v>162</v>
      </c>
      <c r="B164" s="3" t="s">
        <v>304</v>
      </c>
      <c r="C164" s="3" t="s">
        <v>217</v>
      </c>
      <c r="D164" t="str">
        <f>INDEX(Sheet3!B:B, MATCH(maki!B164,Sheet3!A:A,0))</f>
        <v>sport_and_leisure</v>
      </c>
    </row>
    <row r="165" spans="1:4" x14ac:dyDescent="0.3">
      <c r="A165" s="3" t="s">
        <v>163</v>
      </c>
      <c r="B165" s="3" t="s">
        <v>237</v>
      </c>
      <c r="C165" s="3" t="s">
        <v>237</v>
      </c>
      <c r="D165" t="str">
        <f>INDEX(Sheet3!B:B, MATCH(maki!B165,Sheet3!A:A,0))</f>
        <v>store_like</v>
      </c>
    </row>
    <row r="166" spans="1:4" x14ac:dyDescent="0.3">
      <c r="A166" s="3" t="s">
        <v>164</v>
      </c>
      <c r="B166" s="3" t="s">
        <v>296</v>
      </c>
      <c r="C166" s="3" t="s">
        <v>167</v>
      </c>
      <c r="D166" t="str">
        <f>INDEX(Sheet3!B:B, MATCH(maki!B166,Sheet3!A:A,0))</f>
        <v>sport_and_leisure</v>
      </c>
    </row>
    <row r="167" spans="1:4" x14ac:dyDescent="0.3">
      <c r="A167" s="3" t="s">
        <v>165</v>
      </c>
      <c r="B167" s="3" t="s">
        <v>296</v>
      </c>
      <c r="C167" s="3" t="s">
        <v>167</v>
      </c>
      <c r="D167" t="str">
        <f>INDEX(Sheet3!B:B, MATCH(maki!B167,Sheet3!A:A,0))</f>
        <v>sport_and_leisure</v>
      </c>
    </row>
    <row r="168" spans="1:4" x14ac:dyDescent="0.3">
      <c r="A168" s="3" t="s">
        <v>166</v>
      </c>
      <c r="B168" s="3" t="s">
        <v>167</v>
      </c>
      <c r="C168" s="3" t="s">
        <v>167</v>
      </c>
      <c r="D168" t="str">
        <f>INDEX(Sheet3!B:B, MATCH(maki!B168,Sheet3!A:A,0))</f>
        <v>sport_and_leisure</v>
      </c>
    </row>
    <row r="169" spans="1:4" x14ac:dyDescent="0.3">
      <c r="A169" s="3" t="s">
        <v>167</v>
      </c>
      <c r="B169" s="3" t="s">
        <v>167</v>
      </c>
      <c r="C169" s="3" t="s">
        <v>167</v>
      </c>
      <c r="D169" t="str">
        <f>INDEX(Sheet3!B:B, MATCH(maki!B169,Sheet3!A:A,0))</f>
        <v>sport_and_leisure</v>
      </c>
    </row>
    <row r="170" spans="1:4" x14ac:dyDescent="0.3">
      <c r="A170" s="3" t="s">
        <v>168</v>
      </c>
      <c r="B170" s="3" t="s">
        <v>129</v>
      </c>
      <c r="C170" s="3" t="s">
        <v>129</v>
      </c>
      <c r="D170" t="str">
        <f>INDEX(Sheet3!B:B, MATCH(maki!B170,Sheet3!A:A,0))</f>
        <v>park_like</v>
      </c>
    </row>
    <row r="171" spans="1:4" x14ac:dyDescent="0.3">
      <c r="A171" s="3" t="s">
        <v>169</v>
      </c>
      <c r="B171" s="3" t="s">
        <v>236</v>
      </c>
      <c r="C171" s="3" t="s">
        <v>236</v>
      </c>
      <c r="D171" t="str">
        <f>INDEX(Sheet3!B:B, MATCH(maki!B171,Sheet3!A:A,0))</f>
        <v>food_and_drink</v>
      </c>
    </row>
    <row r="172" spans="1:4" x14ac:dyDescent="0.3">
      <c r="A172" s="3" t="s">
        <v>170</v>
      </c>
      <c r="B172" s="3" t="s">
        <v>237</v>
      </c>
      <c r="C172" s="3" t="s">
        <v>224</v>
      </c>
      <c r="D172" t="str">
        <f>INDEX(Sheet3!B:B, MATCH(maki!B172,Sheet3!A:A,0))</f>
        <v>store_like</v>
      </c>
    </row>
    <row r="173" spans="1:4" x14ac:dyDescent="0.3">
      <c r="A173" s="3" t="s">
        <v>171</v>
      </c>
      <c r="B173" s="3" t="s">
        <v>247</v>
      </c>
      <c r="C173" s="3" t="s">
        <v>375</v>
      </c>
      <c r="D173" t="str">
        <f>INDEX(Sheet3!B:B, MATCH(maki!B173,Sheet3!A:A,0))</f>
        <v>motorist</v>
      </c>
    </row>
    <row r="174" spans="1:4" x14ac:dyDescent="0.3">
      <c r="A174" s="3" t="s">
        <v>172</v>
      </c>
      <c r="B174" s="3" t="s">
        <v>210</v>
      </c>
      <c r="C174" s="3" t="s">
        <v>210</v>
      </c>
      <c r="D174" t="str">
        <f>INDEX(Sheet3!B:B, MATCH(maki!B174,Sheet3!A:A,0))</f>
        <v>park_like</v>
      </c>
    </row>
    <row r="175" spans="1:4" x14ac:dyDescent="0.3">
      <c r="A175" s="3" t="s">
        <v>173</v>
      </c>
      <c r="B175" s="3" t="s">
        <v>224</v>
      </c>
      <c r="C175" s="3" t="s">
        <v>224</v>
      </c>
      <c r="D175" t="str">
        <f>INDEX(Sheet3!B:B, MATCH(maki!B175,Sheet3!A:A,0))</f>
        <v>food_and_drink_stores</v>
      </c>
    </row>
    <row r="176" spans="1:4" x14ac:dyDescent="0.3">
      <c r="A176" s="3" t="s">
        <v>174</v>
      </c>
      <c r="B176" s="3" t="s">
        <v>238</v>
      </c>
      <c r="C176" s="3" t="s">
        <v>238</v>
      </c>
      <c r="D176" t="str">
        <f>INDEX(Sheet3!B:B, MATCH(maki!B176,Sheet3!A:A,0))</f>
        <v>sport_and_leisure</v>
      </c>
    </row>
    <row r="177" spans="1:4" x14ac:dyDescent="0.3">
      <c r="A177" s="3" t="s">
        <v>175</v>
      </c>
      <c r="B177" s="3" t="s">
        <v>211</v>
      </c>
      <c r="C177" s="3" t="s">
        <v>211</v>
      </c>
      <c r="D177" t="str">
        <f>INDEX(Sheet3!B:B, MATCH(maki!B177,Sheet3!A:A,0))</f>
        <v>motorist</v>
      </c>
    </row>
    <row r="178" spans="1:4" x14ac:dyDescent="0.3">
      <c r="A178" s="3" t="s">
        <v>176</v>
      </c>
      <c r="B178" s="3" t="s">
        <v>209</v>
      </c>
      <c r="C178" s="3" t="s">
        <v>209</v>
      </c>
      <c r="D178" t="str">
        <f>INDEX(Sheet3!B:B, MATCH(maki!B178,Sheet3!A:A,0))</f>
        <v>food_and_drink</v>
      </c>
    </row>
    <row r="179" spans="1:4" ht="28.8" x14ac:dyDescent="0.3">
      <c r="A179" s="3" t="s">
        <v>177</v>
      </c>
      <c r="B179" s="3" t="s">
        <v>302</v>
      </c>
      <c r="C179" s="3" t="s">
        <v>232</v>
      </c>
      <c r="D179" t="str">
        <f>INDEX(Sheet3!B:B, MATCH(maki!B179,Sheet3!A:A,0))</f>
        <v>industrial</v>
      </c>
    </row>
    <row r="180" spans="1:4" x14ac:dyDescent="0.3">
      <c r="A180" s="3" t="s">
        <v>178</v>
      </c>
      <c r="B180" s="3" t="s">
        <v>313</v>
      </c>
      <c r="C180" s="3" t="s">
        <v>313</v>
      </c>
      <c r="D180" t="str">
        <f>INDEX(Sheet3!B:B, MATCH(maki!B180,Sheet3!A:A,0))</f>
        <v>visitor_amenities</v>
      </c>
    </row>
    <row r="181" spans="1:4" x14ac:dyDescent="0.3">
      <c r="A181" s="3" t="s">
        <v>179</v>
      </c>
      <c r="B181" s="3" t="s">
        <v>206</v>
      </c>
      <c r="C181" s="3" t="s">
        <v>206</v>
      </c>
      <c r="D181" t="str">
        <f>INDEX(Sheet3!B:B, MATCH(maki!B181,Sheet3!A:A,0))</f>
        <v>visitor_amenities</v>
      </c>
    </row>
    <row r="182" spans="1:4" x14ac:dyDescent="0.3">
      <c r="A182" s="3" t="s">
        <v>180</v>
      </c>
      <c r="B182" s="3" t="s">
        <v>227</v>
      </c>
      <c r="C182" s="3" t="s">
        <v>227</v>
      </c>
      <c r="D182" t="str">
        <f>INDEX(Sheet3!B:B, MATCH(maki!B182,Sheet3!A:A,0))</f>
        <v>visitor_amenities</v>
      </c>
    </row>
    <row r="183" spans="1:4" x14ac:dyDescent="0.3">
      <c r="A183" s="3" t="s">
        <v>181</v>
      </c>
      <c r="B183" s="3" t="s">
        <v>246</v>
      </c>
      <c r="C183" s="3" t="s">
        <v>376</v>
      </c>
      <c r="D183" t="str">
        <f>INDEX(Sheet3!B:B, MATCH(maki!B183,Sheet3!A:A,0))</f>
        <v>motorist</v>
      </c>
    </row>
    <row r="184" spans="1:4" x14ac:dyDescent="0.3">
      <c r="A184" s="3" t="s">
        <v>182</v>
      </c>
      <c r="B184" s="3" t="s">
        <v>244</v>
      </c>
      <c r="C184" s="3" t="s">
        <v>313</v>
      </c>
      <c r="D184" t="str">
        <f>INDEX(Sheet3!B:B, MATCH(maki!B184,Sheet3!A:A,0))</f>
        <v>motorist</v>
      </c>
    </row>
    <row r="185" spans="1:4" x14ac:dyDescent="0.3">
      <c r="A185" s="3" t="s">
        <v>183</v>
      </c>
      <c r="B185" s="3" t="s">
        <v>244</v>
      </c>
      <c r="C185" s="3" t="s">
        <v>376</v>
      </c>
      <c r="D185" t="str">
        <f>INDEX(Sheet3!B:B, MATCH(maki!B185,Sheet3!A:A,0))</f>
        <v>motorist</v>
      </c>
    </row>
    <row r="186" spans="1:4" x14ac:dyDescent="0.3">
      <c r="A186" s="3" t="s">
        <v>184</v>
      </c>
      <c r="B186" s="3" t="s">
        <v>313</v>
      </c>
      <c r="C186" s="3" t="s">
        <v>313</v>
      </c>
      <c r="D186" t="str">
        <f>INDEX(Sheet3!B:B, MATCH(maki!B186,Sheet3!A:A,0))</f>
        <v>visitor_amenities</v>
      </c>
    </row>
    <row r="187" spans="1:4" x14ac:dyDescent="0.3">
      <c r="A187" s="3" t="s">
        <v>185</v>
      </c>
      <c r="B187" s="3" t="s">
        <v>222</v>
      </c>
      <c r="C187" s="3" t="s">
        <v>222</v>
      </c>
      <c r="D187" t="str">
        <f>INDEX(Sheet3!B:B, MATCH(maki!B187,Sheet3!A:A,0))</f>
        <v>motorist</v>
      </c>
    </row>
    <row r="188" spans="1:4" x14ac:dyDescent="0.3">
      <c r="A188" s="3" t="s">
        <v>186</v>
      </c>
      <c r="B188" s="3" t="s">
        <v>215</v>
      </c>
      <c r="C188" s="3" t="s">
        <v>215</v>
      </c>
      <c r="D188" t="str">
        <f>INDEX(Sheet3!B:B, MATCH(maki!B188,Sheet3!A:A,0))</f>
        <v>education</v>
      </c>
    </row>
    <row r="189" spans="1:4" x14ac:dyDescent="0.3">
      <c r="A189" s="3" t="s">
        <v>187</v>
      </c>
      <c r="B189" s="3" t="s">
        <v>242</v>
      </c>
      <c r="C189" s="3" t="s">
        <v>242</v>
      </c>
      <c r="D189" t="str">
        <f>INDEX(Sheet3!B:B, MATCH(maki!B189,Sheet3!A:A,0))</f>
        <v>medical</v>
      </c>
    </row>
    <row r="190" spans="1:4" x14ac:dyDescent="0.3">
      <c r="A190" s="3" t="s">
        <v>188</v>
      </c>
      <c r="B190" s="3" t="s">
        <v>227</v>
      </c>
      <c r="C190" s="3" t="s">
        <v>227</v>
      </c>
      <c r="D190" t="str">
        <f>INDEX(Sheet3!B:B, MATCH(maki!B190,Sheet3!A:A,0))</f>
        <v>visitor_amenities</v>
      </c>
    </row>
    <row r="191" spans="1:4" x14ac:dyDescent="0.3">
      <c r="A191" s="3" t="s">
        <v>189</v>
      </c>
      <c r="B191" s="3" t="s">
        <v>237</v>
      </c>
      <c r="C191" s="3" t="s">
        <v>224</v>
      </c>
      <c r="D191" t="str">
        <f>INDEX(Sheet3!B:B, MATCH(maki!B191,Sheet3!A:A,0))</f>
        <v>store_like</v>
      </c>
    </row>
    <row r="192" spans="1:4" x14ac:dyDescent="0.3">
      <c r="A192" s="3" t="s">
        <v>190</v>
      </c>
      <c r="B192" s="3" t="s">
        <v>203</v>
      </c>
      <c r="C192" s="3" t="s">
        <v>238</v>
      </c>
      <c r="D192" t="str">
        <f>INDEX(Sheet3!B:B, MATCH(maki!B192,Sheet3!A:A,0))</f>
        <v>sport_and_leisure</v>
      </c>
    </row>
    <row r="193" spans="1:4" x14ac:dyDescent="0.3">
      <c r="A193" s="3" t="s">
        <v>191</v>
      </c>
      <c r="B193" s="3" t="s">
        <v>239</v>
      </c>
      <c r="C193" s="3" t="s">
        <v>237</v>
      </c>
      <c r="D193" t="str">
        <f>INDEX(Sheet3!B:B, MATCH(maki!B193,Sheet3!A:A,0))</f>
        <v>arts_and_entertainment</v>
      </c>
    </row>
    <row r="194" spans="1:4" x14ac:dyDescent="0.3">
      <c r="A194" s="3" t="s">
        <v>192</v>
      </c>
      <c r="B194" s="3" t="s">
        <v>237</v>
      </c>
      <c r="C194" s="3" t="s">
        <v>224</v>
      </c>
      <c r="D194" t="str">
        <f>INDEX(Sheet3!B:B, MATCH(maki!B194,Sheet3!A:A,0))</f>
        <v>store_like</v>
      </c>
    </row>
    <row r="195" spans="1:4" x14ac:dyDescent="0.3">
      <c r="A195" s="3" t="s">
        <v>193</v>
      </c>
      <c r="B195" s="3" t="s">
        <v>129</v>
      </c>
      <c r="C195" s="3" t="s">
        <v>129</v>
      </c>
      <c r="D195" t="str">
        <f>INDEX(Sheet3!B:B, MATCH(maki!B195,Sheet3!A:A,0))</f>
        <v>park_like</v>
      </c>
    </row>
    <row r="196" spans="1:4" x14ac:dyDescent="0.3">
      <c r="A196" s="3" t="s">
        <v>194</v>
      </c>
      <c r="B196" s="3" t="s">
        <v>129</v>
      </c>
      <c r="C196" s="3" t="s">
        <v>129</v>
      </c>
      <c r="D196" t="str">
        <f>INDEX(Sheet3!B:B, MATCH(maki!B196,Sheet3!A:A,0))</f>
        <v>park_like</v>
      </c>
    </row>
    <row r="197" spans="1:4" x14ac:dyDescent="0.3">
      <c r="A197" s="3" t="s">
        <v>195</v>
      </c>
      <c r="B197" s="3" t="s">
        <v>16</v>
      </c>
      <c r="C197" s="3" t="s">
        <v>16</v>
      </c>
      <c r="D197" t="str">
        <f>INDEX(Sheet3!B:B, MATCH(maki!B197,Sheet3!A:A,0))</f>
        <v>food_and_drink</v>
      </c>
    </row>
    <row r="198" spans="1:4" x14ac:dyDescent="0.3">
      <c r="A198" s="3" t="s">
        <v>196</v>
      </c>
      <c r="B198" s="3" t="s">
        <v>196</v>
      </c>
      <c r="C198" s="3" t="s">
        <v>196</v>
      </c>
      <c r="D198" t="str">
        <f>INDEX(Sheet3!B:B, MATCH(maki!B198,Sheet3!A:A,0))</f>
        <v>park_like</v>
      </c>
    </row>
  </sheetData>
  <autoFilter ref="A1:D198" xr:uid="{6286DE8A-2FB8-4BE5-92A7-BA7B9E2E674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841A5-A748-425F-B3B6-9BD74A55A9FA}">
  <dimension ref="A1:C198"/>
  <sheetViews>
    <sheetView workbookViewId="0">
      <selection activeCell="C8" sqref="C8"/>
    </sheetView>
  </sheetViews>
  <sheetFormatPr defaultRowHeight="14.4" x14ac:dyDescent="0.3"/>
  <cols>
    <col min="1" max="1" width="31" bestFit="1" customWidth="1"/>
    <col min="2" max="2" width="15.6640625" bestFit="1" customWidth="1"/>
  </cols>
  <sheetData>
    <row r="1" spans="1:3" x14ac:dyDescent="0.3">
      <c r="A1" s="1" t="s">
        <v>291</v>
      </c>
      <c r="B1" s="1" t="s">
        <v>385</v>
      </c>
      <c r="C1" s="1" t="s">
        <v>315</v>
      </c>
    </row>
    <row r="2" spans="1:3" x14ac:dyDescent="0.3">
      <c r="A2" t="s">
        <v>0</v>
      </c>
      <c r="B2" t="s">
        <v>237</v>
      </c>
      <c r="C2" t="str">
        <f>INDEX(maki!D:D,MATCH(osm!B2,maki!C:C,0))</f>
        <v>store_like</v>
      </c>
    </row>
    <row r="3" spans="1:3" x14ac:dyDescent="0.3">
      <c r="A3" t="s">
        <v>1</v>
      </c>
      <c r="B3" t="s">
        <v>381</v>
      </c>
      <c r="C3" t="str">
        <f>INDEX(maki!D:D,MATCH(osm!B3,maki!C:C,0))</f>
        <v>building</v>
      </c>
    </row>
    <row r="4" spans="1:3" x14ac:dyDescent="0.3">
      <c r="A4" t="s">
        <v>2</v>
      </c>
      <c r="B4" t="s">
        <v>129</v>
      </c>
      <c r="C4" t="str">
        <f>INDEX(maki!D:D,MATCH(osm!B4,maki!C:C,0))</f>
        <v>park_like</v>
      </c>
    </row>
    <row r="5" spans="1:3" x14ac:dyDescent="0.3">
      <c r="A5" t="s">
        <v>3</v>
      </c>
      <c r="B5" t="s">
        <v>236</v>
      </c>
      <c r="C5" t="str">
        <f>INDEX(maki!D:D,MATCH(osm!B5,maki!C:C,0))</f>
        <v>food_and_drink</v>
      </c>
    </row>
    <row r="6" spans="1:3" x14ac:dyDescent="0.3">
      <c r="A6" t="s">
        <v>4</v>
      </c>
      <c r="B6" t="s">
        <v>4</v>
      </c>
      <c r="C6" t="str">
        <f>INDEX(maki!D:D,MATCH(osm!B6,maki!C:C,0))</f>
        <v>motorist</v>
      </c>
    </row>
    <row r="7" spans="1:3" x14ac:dyDescent="0.3">
      <c r="A7" t="s">
        <v>5</v>
      </c>
      <c r="B7" t="s">
        <v>360</v>
      </c>
      <c r="C7" t="str">
        <f>INDEX(maki!D:D,MATCH(osm!B7,maki!C:C,0))</f>
        <v>sport_and_leisure</v>
      </c>
    </row>
    <row r="8" spans="1:3" x14ac:dyDescent="0.3">
      <c r="A8" t="s">
        <v>6</v>
      </c>
      <c r="B8" t="s">
        <v>26</v>
      </c>
      <c r="C8" t="e">
        <f>INDEX(maki!D:D,MATCH(osm!B8,maki!C:C,0))</f>
        <v>#N/A</v>
      </c>
    </row>
    <row r="9" spans="1:3" x14ac:dyDescent="0.3">
      <c r="A9" t="s">
        <v>7</v>
      </c>
      <c r="B9" t="s">
        <v>386</v>
      </c>
      <c r="C9" t="e">
        <f>INDEX(maki!D:D,MATCH(osm!B9,maki!C:C,0))</f>
        <v>#N/A</v>
      </c>
    </row>
    <row r="10" spans="1:3" x14ac:dyDescent="0.3">
      <c r="A10" t="s">
        <v>8</v>
      </c>
      <c r="B10" t="s">
        <v>361</v>
      </c>
      <c r="C10" t="str">
        <f>INDEX(maki!D:D,MATCH(osm!B10,maki!C:C,0))</f>
        <v>arts_and_entertainment</v>
      </c>
    </row>
    <row r="11" spans="1:3" x14ac:dyDescent="0.3">
      <c r="A11" t="s">
        <v>9</v>
      </c>
      <c r="B11" t="s">
        <v>361</v>
      </c>
      <c r="C11" t="str">
        <f>INDEX(maki!D:D,MATCH(osm!B11,maki!C:C,0))</f>
        <v>arts_and_entertainment</v>
      </c>
    </row>
    <row r="12" spans="1:3" x14ac:dyDescent="0.3">
      <c r="A12" t="s">
        <v>10</v>
      </c>
      <c r="B12" t="s">
        <v>236</v>
      </c>
      <c r="C12" t="str">
        <f>INDEX(maki!D:D,MATCH(osm!B12,maki!C:C,0))</f>
        <v>food_and_drink</v>
      </c>
    </row>
    <row r="13" spans="1:3" x14ac:dyDescent="0.3">
      <c r="A13" t="s">
        <v>11</v>
      </c>
      <c r="B13" t="s">
        <v>15</v>
      </c>
      <c r="C13" t="str">
        <f>INDEX(maki!D:D,MATCH(osm!B13,maki!C:C,0))</f>
        <v>commercial_services</v>
      </c>
    </row>
    <row r="14" spans="1:3" x14ac:dyDescent="0.3">
      <c r="A14" t="s">
        <v>12</v>
      </c>
      <c r="B14" t="s">
        <v>239</v>
      </c>
      <c r="C14" t="str">
        <f>INDEX(maki!D:D,MATCH(osm!B14,maki!C:C,0))</f>
        <v>arts_and_entertainment</v>
      </c>
    </row>
    <row r="15" spans="1:3" x14ac:dyDescent="0.3">
      <c r="A15" t="s">
        <v>13</v>
      </c>
      <c r="B15" t="s">
        <v>237</v>
      </c>
      <c r="C15" t="str">
        <f>INDEX(maki!D:D,MATCH(osm!B15,maki!C:C,0))</f>
        <v>store_like</v>
      </c>
    </row>
    <row r="16" spans="1:3" x14ac:dyDescent="0.3">
      <c r="A16" t="s">
        <v>14</v>
      </c>
      <c r="B16" t="s">
        <v>14</v>
      </c>
      <c r="C16" t="str">
        <f>INDEX(maki!D:D,MATCH(osm!B16,maki!C:C,0))</f>
        <v>food_and_drink_stores</v>
      </c>
    </row>
    <row r="17" spans="1:3" x14ac:dyDescent="0.3">
      <c r="A17" t="s">
        <v>15</v>
      </c>
      <c r="B17" t="s">
        <v>15</v>
      </c>
      <c r="C17" t="str">
        <f>INDEX(maki!D:D,MATCH(osm!B17,maki!C:C,0))</f>
        <v>commercial_services</v>
      </c>
    </row>
    <row r="18" spans="1:3" x14ac:dyDescent="0.3">
      <c r="A18" t="s">
        <v>16</v>
      </c>
      <c r="B18" t="s">
        <v>16</v>
      </c>
      <c r="C18" t="str">
        <f>INDEX(maki!D:D,MATCH(osm!B18,maki!C:C,0))</f>
        <v>food_and_drink</v>
      </c>
    </row>
    <row r="19" spans="1:3" x14ac:dyDescent="0.3">
      <c r="A19" t="s">
        <v>17</v>
      </c>
      <c r="B19" t="s">
        <v>16</v>
      </c>
      <c r="C19" t="str">
        <f>INDEX(maki!D:D,MATCH(osm!B19,maki!C:C,0))</f>
        <v>food_and_drink</v>
      </c>
    </row>
    <row r="20" spans="1:3" x14ac:dyDescent="0.3">
      <c r="A20" t="s">
        <v>18</v>
      </c>
      <c r="B20" t="s">
        <v>237</v>
      </c>
      <c r="C20" t="str">
        <f>INDEX(maki!D:D,MATCH(osm!B20,maki!C:C,0))</f>
        <v>store_like</v>
      </c>
    </row>
    <row r="21" spans="1:3" x14ac:dyDescent="0.3">
      <c r="A21" t="s">
        <v>19</v>
      </c>
      <c r="B21" t="s">
        <v>237</v>
      </c>
      <c r="C21" t="str">
        <f>INDEX(maki!D:D,MATCH(osm!B21,maki!C:C,0))</f>
        <v>store_like</v>
      </c>
    </row>
    <row r="22" spans="1:3" x14ac:dyDescent="0.3">
      <c r="A22" t="s">
        <v>20</v>
      </c>
      <c r="B22" t="s">
        <v>116</v>
      </c>
      <c r="C22" t="str">
        <f>INDEX(maki!D:D,MATCH(osm!B22,maki!C:C,0))</f>
        <v>lodging</v>
      </c>
    </row>
    <row r="23" spans="1:3" x14ac:dyDescent="0.3">
      <c r="A23" t="s">
        <v>21</v>
      </c>
      <c r="B23" t="s">
        <v>208</v>
      </c>
      <c r="C23" t="str">
        <f>INDEX(maki!D:D,MATCH(osm!B23,maki!C:C,0))</f>
        <v>motorist</v>
      </c>
    </row>
    <row r="24" spans="1:3" x14ac:dyDescent="0.3">
      <c r="A24" t="s">
        <v>22</v>
      </c>
      <c r="B24" t="s">
        <v>237</v>
      </c>
      <c r="C24" t="str">
        <f>INDEX(maki!D:D,MATCH(osm!B24,maki!C:C,0))</f>
        <v>store_like</v>
      </c>
    </row>
    <row r="25" spans="1:3" x14ac:dyDescent="0.3">
      <c r="A25" t="s">
        <v>23</v>
      </c>
      <c r="B25" t="s">
        <v>237</v>
      </c>
      <c r="C25" t="str">
        <f>INDEX(maki!D:D,MATCH(osm!B25,maki!C:C,0))</f>
        <v>store_like</v>
      </c>
    </row>
    <row r="26" spans="1:3" x14ac:dyDescent="0.3">
      <c r="A26" t="s">
        <v>24</v>
      </c>
      <c r="B26" t="s">
        <v>84</v>
      </c>
      <c r="C26" t="str">
        <f>INDEX(maki!D:D,MATCH(osm!B26,maki!C:C,0))</f>
        <v>park_like</v>
      </c>
    </row>
    <row r="27" spans="1:3" x14ac:dyDescent="0.3">
      <c r="A27" t="s">
        <v>25</v>
      </c>
      <c r="B27" t="s">
        <v>236</v>
      </c>
      <c r="C27" t="str">
        <f>INDEX(maki!D:D,MATCH(osm!B27,maki!C:C,0))</f>
        <v>food_and_drink</v>
      </c>
    </row>
    <row r="28" spans="1:3" x14ac:dyDescent="0.3">
      <c r="A28" t="s">
        <v>26</v>
      </c>
      <c r="B28" t="s">
        <v>26</v>
      </c>
      <c r="C28" t="e">
        <f>INDEX(maki!D:D,MATCH(osm!B28,maki!C:C,0))</f>
        <v>#N/A</v>
      </c>
    </row>
    <row r="29" spans="1:3" x14ac:dyDescent="0.3">
      <c r="A29" t="s">
        <v>27</v>
      </c>
      <c r="B29" t="s">
        <v>244</v>
      </c>
      <c r="C29" t="str">
        <f>INDEX(maki!D:D,MATCH(osm!B29,maki!C:C,0))</f>
        <v>motorist</v>
      </c>
    </row>
    <row r="30" spans="1:3" x14ac:dyDescent="0.3">
      <c r="A30" t="s">
        <v>28</v>
      </c>
      <c r="B30" t="s">
        <v>244</v>
      </c>
      <c r="C30" t="str">
        <f>INDEX(maki!D:D,MATCH(osm!B30,maki!C:C,0))</f>
        <v>motorist</v>
      </c>
    </row>
    <row r="31" spans="1:3" x14ac:dyDescent="0.3">
      <c r="A31" t="s">
        <v>29</v>
      </c>
      <c r="B31" t="s">
        <v>237</v>
      </c>
      <c r="C31" t="str">
        <f>INDEX(maki!D:D,MATCH(osm!B31,maki!C:C,0))</f>
        <v>store_like</v>
      </c>
    </row>
    <row r="32" spans="1:3" x14ac:dyDescent="0.3">
      <c r="A32" t="s">
        <v>30</v>
      </c>
      <c r="B32" t="s">
        <v>209</v>
      </c>
      <c r="C32" t="str">
        <f>INDEX(maki!D:D,MATCH(osm!B32,maki!C:C,0))</f>
        <v>food_and_drink</v>
      </c>
    </row>
    <row r="33" spans="1:3" x14ac:dyDescent="0.3">
      <c r="A33" t="s">
        <v>31</v>
      </c>
      <c r="B33" t="s">
        <v>14</v>
      </c>
      <c r="C33" t="str">
        <f>INDEX(maki!D:D,MATCH(osm!B33,maki!C:C,0))</f>
        <v>food_and_drink_stores</v>
      </c>
    </row>
    <row r="34" spans="1:3" x14ac:dyDescent="0.3">
      <c r="A34" t="s">
        <v>32</v>
      </c>
      <c r="B34" t="s">
        <v>211</v>
      </c>
      <c r="C34" t="str">
        <f>INDEX(maki!D:D,MATCH(osm!B34,maki!C:C,0))</f>
        <v>motorist</v>
      </c>
    </row>
    <row r="35" spans="1:3" x14ac:dyDescent="0.3">
      <c r="A35" t="s">
        <v>33</v>
      </c>
      <c r="B35" t="s">
        <v>211</v>
      </c>
      <c r="C35" t="str">
        <f>INDEX(maki!D:D,MATCH(osm!B35,maki!C:C,0))</f>
        <v>motorist</v>
      </c>
    </row>
    <row r="36" spans="1:3" x14ac:dyDescent="0.3">
      <c r="A36" t="s">
        <v>34</v>
      </c>
      <c r="B36" t="s">
        <v>211</v>
      </c>
      <c r="C36" t="str">
        <f>INDEX(maki!D:D,MATCH(osm!B36,maki!C:C,0))</f>
        <v>motorist</v>
      </c>
    </row>
    <row r="37" spans="1:3" x14ac:dyDescent="0.3">
      <c r="A37" t="s">
        <v>35</v>
      </c>
      <c r="B37" t="s">
        <v>211</v>
      </c>
      <c r="C37" t="str">
        <f>INDEX(maki!D:D,MATCH(osm!B37,maki!C:C,0))</f>
        <v>motorist</v>
      </c>
    </row>
    <row r="38" spans="1:3" x14ac:dyDescent="0.3">
      <c r="A38" t="s">
        <v>36</v>
      </c>
      <c r="B38" t="s">
        <v>236</v>
      </c>
      <c r="C38" t="str">
        <f>INDEX(maki!D:D,MATCH(osm!B38,maki!C:C,0))</f>
        <v>food_and_drink</v>
      </c>
    </row>
    <row r="39" spans="1:3" x14ac:dyDescent="0.3">
      <c r="A39" t="s">
        <v>37</v>
      </c>
      <c r="B39" t="s">
        <v>237</v>
      </c>
      <c r="C39" t="str">
        <f>INDEX(maki!D:D,MATCH(osm!B39,maki!C:C,0))</f>
        <v>store_like</v>
      </c>
    </row>
    <row r="40" spans="1:3" x14ac:dyDescent="0.3">
      <c r="A40" t="s">
        <v>38</v>
      </c>
      <c r="B40" t="s">
        <v>38</v>
      </c>
      <c r="C40" t="str">
        <f>INDEX(maki!D:D,MATCH(osm!B40,maki!C:C,0))</f>
        <v>park_like</v>
      </c>
    </row>
    <row r="41" spans="1:3" x14ac:dyDescent="0.3">
      <c r="A41" t="s">
        <v>39</v>
      </c>
      <c r="B41" t="s">
        <v>153</v>
      </c>
      <c r="C41" t="str">
        <f>INDEX(maki!D:D,MATCH(osm!B41,maki!C:C,0))</f>
        <v>education</v>
      </c>
    </row>
    <row r="42" spans="1:3" x14ac:dyDescent="0.3">
      <c r="A42" t="s">
        <v>40</v>
      </c>
      <c r="B42" t="s">
        <v>387</v>
      </c>
      <c r="C42" t="e">
        <f>INDEX(maki!D:D,MATCH(osm!B42,maki!C:C,0))</f>
        <v>#N/A</v>
      </c>
    </row>
    <row r="43" spans="1:3" x14ac:dyDescent="0.3">
      <c r="A43" t="s">
        <v>41</v>
      </c>
      <c r="B43" t="s">
        <v>236</v>
      </c>
      <c r="C43" t="str">
        <f>INDEX(maki!D:D,MATCH(osm!B43,maki!C:C,0))</f>
        <v>food_and_drink</v>
      </c>
    </row>
    <row r="44" spans="1:3" x14ac:dyDescent="0.3">
      <c r="A44" t="s">
        <v>42</v>
      </c>
      <c r="B44" t="s">
        <v>237</v>
      </c>
      <c r="C44" t="str">
        <f>INDEX(maki!D:D,MATCH(osm!B44,maki!C:C,0))</f>
        <v>store_like</v>
      </c>
    </row>
    <row r="45" spans="1:3" x14ac:dyDescent="0.3">
      <c r="A45" t="s">
        <v>43</v>
      </c>
      <c r="B45" t="s">
        <v>14</v>
      </c>
      <c r="C45" t="str">
        <f>INDEX(maki!D:D,MATCH(osm!B45,maki!C:C,0))</f>
        <v>food_and_drink_stores</v>
      </c>
    </row>
    <row r="46" spans="1:3" x14ac:dyDescent="0.3">
      <c r="A46" t="s">
        <v>44</v>
      </c>
      <c r="B46" t="s">
        <v>377</v>
      </c>
      <c r="C46" t="str">
        <f>INDEX(maki!D:D,MATCH(osm!B46,maki!C:C,0))</f>
        <v>religion</v>
      </c>
    </row>
    <row r="47" spans="1:3" x14ac:dyDescent="0.3">
      <c r="A47" t="s">
        <v>45</v>
      </c>
      <c r="B47" t="s">
        <v>381</v>
      </c>
      <c r="C47" t="str">
        <f>INDEX(maki!D:D,MATCH(osm!B47,maki!C:C,0))</f>
        <v>building</v>
      </c>
    </row>
    <row r="48" spans="1:3" x14ac:dyDescent="0.3">
      <c r="A48" t="s">
        <v>46</v>
      </c>
      <c r="B48" t="s">
        <v>365</v>
      </c>
      <c r="C48" t="str">
        <f>INDEX(maki!D:D,MATCH(osm!B48,maki!C:C,0))</f>
        <v>store_like</v>
      </c>
    </row>
    <row r="49" spans="1:3" x14ac:dyDescent="0.3">
      <c r="A49" t="s">
        <v>47</v>
      </c>
      <c r="B49" t="s">
        <v>209</v>
      </c>
      <c r="C49" t="str">
        <f>INDEX(maki!D:D,MATCH(osm!B49,maki!C:C,0))</f>
        <v>food_and_drink</v>
      </c>
    </row>
    <row r="50" spans="1:3" x14ac:dyDescent="0.3">
      <c r="A50" t="s">
        <v>48</v>
      </c>
      <c r="B50" t="s">
        <v>48</v>
      </c>
      <c r="C50" t="e">
        <f>INDEX(maki!D:D,MATCH(osm!B50,maki!C:C,0))</f>
        <v>#N/A</v>
      </c>
    </row>
    <row r="51" spans="1:3" x14ac:dyDescent="0.3">
      <c r="A51" t="s">
        <v>49</v>
      </c>
      <c r="B51" t="s">
        <v>229</v>
      </c>
      <c r="C51" t="str">
        <f>INDEX(maki!D:D,MATCH(osm!B51,maki!C:C,0))</f>
        <v>arts_and_entertainment</v>
      </c>
    </row>
    <row r="52" spans="1:3" x14ac:dyDescent="0.3">
      <c r="A52" t="s">
        <v>50</v>
      </c>
      <c r="B52" t="s">
        <v>386</v>
      </c>
      <c r="C52" t="e">
        <f>INDEX(maki!D:D,MATCH(osm!B52,maki!C:C,0))</f>
        <v>#N/A</v>
      </c>
    </row>
    <row r="53" spans="1:3" x14ac:dyDescent="0.3">
      <c r="A53" t="s">
        <v>51</v>
      </c>
      <c r="B53" t="s">
        <v>14</v>
      </c>
      <c r="C53" t="str">
        <f>INDEX(maki!D:D,MATCH(osm!B53,maki!C:C,0))</f>
        <v>food_and_drink_stores</v>
      </c>
    </row>
    <row r="54" spans="1:3" x14ac:dyDescent="0.3">
      <c r="A54" t="s">
        <v>52</v>
      </c>
      <c r="B54" t="s">
        <v>224</v>
      </c>
      <c r="C54" t="str">
        <f>INDEX(maki!D:D,MATCH(osm!B54,maki!C:C,0))</f>
        <v>food_and_drink_stores</v>
      </c>
    </row>
    <row r="55" spans="1:3" x14ac:dyDescent="0.3">
      <c r="A55" t="s">
        <v>53</v>
      </c>
      <c r="B55" t="s">
        <v>313</v>
      </c>
      <c r="C55" t="str">
        <f>INDEX(maki!D:D,MATCH(osm!B55,maki!C:C,0))</f>
        <v>building</v>
      </c>
    </row>
    <row r="56" spans="1:3" x14ac:dyDescent="0.3">
      <c r="A56" t="s">
        <v>54</v>
      </c>
      <c r="B56" t="s">
        <v>54</v>
      </c>
      <c r="C56" t="e">
        <f>INDEX(maki!D:D,MATCH(osm!B56,maki!C:C,0))</f>
        <v>#N/A</v>
      </c>
    </row>
    <row r="57" spans="1:3" x14ac:dyDescent="0.3">
      <c r="A57" t="s">
        <v>55</v>
      </c>
      <c r="B57" t="s">
        <v>116</v>
      </c>
      <c r="C57" t="str">
        <f>INDEX(maki!D:D,MATCH(osm!B57,maki!C:C,0))</f>
        <v>lodging</v>
      </c>
    </row>
    <row r="58" spans="1:3" x14ac:dyDescent="0.3">
      <c r="A58" t="s">
        <v>56</v>
      </c>
      <c r="B58" t="s">
        <v>232</v>
      </c>
      <c r="C58" t="str">
        <f>INDEX(maki!D:D,MATCH(osm!B58,maki!C:C,0))</f>
        <v>industrial</v>
      </c>
    </row>
    <row r="59" spans="1:3" x14ac:dyDescent="0.3">
      <c r="A59" t="s">
        <v>57</v>
      </c>
      <c r="B59" t="s">
        <v>381</v>
      </c>
      <c r="C59" t="str">
        <f>INDEX(maki!D:D,MATCH(osm!B59,maki!C:C,0))</f>
        <v>building</v>
      </c>
    </row>
    <row r="60" spans="1:3" x14ac:dyDescent="0.3">
      <c r="A60" t="s">
        <v>58</v>
      </c>
      <c r="B60" t="s">
        <v>58</v>
      </c>
      <c r="C60" t="e">
        <f>INDEX(maki!D:D,MATCH(osm!B60,maki!C:C,0))</f>
        <v>#N/A</v>
      </c>
    </row>
    <row r="61" spans="1:3" x14ac:dyDescent="0.3">
      <c r="A61" t="s">
        <v>59</v>
      </c>
      <c r="B61" t="s">
        <v>121</v>
      </c>
      <c r="C61" t="str">
        <f>INDEX(maki!D:D,MATCH(osm!B61,maki!C:C,0))</f>
        <v>historic</v>
      </c>
    </row>
    <row r="62" spans="1:3" x14ac:dyDescent="0.3">
      <c r="A62" t="s">
        <v>60</v>
      </c>
      <c r="B62" t="s">
        <v>208</v>
      </c>
      <c r="C62" t="str">
        <f>INDEX(maki!D:D,MATCH(osm!B62,maki!C:C,0))</f>
        <v>motorist</v>
      </c>
    </row>
    <row r="63" spans="1:3" x14ac:dyDescent="0.3">
      <c r="A63" t="s">
        <v>61</v>
      </c>
      <c r="B63" t="s">
        <v>209</v>
      </c>
      <c r="C63" t="str">
        <f>INDEX(maki!D:D,MATCH(osm!B63,maki!C:C,0))</f>
        <v>food_and_drink</v>
      </c>
    </row>
    <row r="64" spans="1:3" x14ac:dyDescent="0.3">
      <c r="A64" t="s">
        <v>62</v>
      </c>
      <c r="B64" t="s">
        <v>216</v>
      </c>
      <c r="C64" t="str">
        <f>INDEX(maki!D:D,MATCH(osm!B64,maki!C:C,0))</f>
        <v>medical</v>
      </c>
    </row>
    <row r="65" spans="1:3" x14ac:dyDescent="0.3">
      <c r="A65" t="s">
        <v>63</v>
      </c>
      <c r="B65" t="s">
        <v>237</v>
      </c>
      <c r="C65" t="str">
        <f>INDEX(maki!D:D,MATCH(osm!B65,maki!C:C,0))</f>
        <v>store_like</v>
      </c>
    </row>
    <row r="66" spans="1:3" x14ac:dyDescent="0.3">
      <c r="A66" t="s">
        <v>64</v>
      </c>
      <c r="B66" t="s">
        <v>14</v>
      </c>
      <c r="C66" t="str">
        <f>INDEX(maki!D:D,MATCH(osm!B66,maki!C:C,0))</f>
        <v>food_and_drink_stores</v>
      </c>
    </row>
    <row r="67" spans="1:3" x14ac:dyDescent="0.3">
      <c r="A67" t="s">
        <v>65</v>
      </c>
      <c r="B67" t="s">
        <v>14</v>
      </c>
      <c r="C67" t="str">
        <f>INDEX(maki!D:D,MATCH(osm!B67,maki!C:C,0))</f>
        <v>food_and_drink_stores</v>
      </c>
    </row>
    <row r="68" spans="1:3" x14ac:dyDescent="0.3">
      <c r="A68" t="s">
        <v>66</v>
      </c>
      <c r="B68" t="s">
        <v>134</v>
      </c>
      <c r="C68" t="str">
        <f>INDEX(maki!D:D,MATCH(osm!B68,maki!C:C,0))</f>
        <v>medical</v>
      </c>
    </row>
    <row r="69" spans="1:3" x14ac:dyDescent="0.3">
      <c r="A69" t="s">
        <v>67</v>
      </c>
      <c r="B69" t="s">
        <v>222</v>
      </c>
      <c r="C69" t="str">
        <f>INDEX(maki!D:D,MATCH(osm!B69,maki!C:C,0))</f>
        <v>motorist</v>
      </c>
    </row>
    <row r="70" spans="1:3" x14ac:dyDescent="0.3">
      <c r="A70" t="s">
        <v>68</v>
      </c>
      <c r="B70" t="s">
        <v>237</v>
      </c>
      <c r="C70" t="str">
        <f>INDEX(maki!D:D,MATCH(osm!B70,maki!C:C,0))</f>
        <v>store_like</v>
      </c>
    </row>
    <row r="71" spans="1:3" x14ac:dyDescent="0.3">
      <c r="A71" t="s">
        <v>69</v>
      </c>
      <c r="B71" t="s">
        <v>69</v>
      </c>
      <c r="C71" t="str">
        <f>INDEX(maki!D:D,MATCH(osm!B71,maki!C:C,0))</f>
        <v>building</v>
      </c>
    </row>
    <row r="72" spans="1:3" x14ac:dyDescent="0.3">
      <c r="A72" t="s">
        <v>70</v>
      </c>
      <c r="B72" t="s">
        <v>313</v>
      </c>
      <c r="C72" t="str">
        <f>INDEX(maki!D:D,MATCH(osm!B72,maki!C:C,0))</f>
        <v>building</v>
      </c>
    </row>
    <row r="73" spans="1:3" x14ac:dyDescent="0.3">
      <c r="A73" t="s">
        <v>71</v>
      </c>
      <c r="B73" t="s">
        <v>71</v>
      </c>
      <c r="C73" t="e">
        <f>INDEX(maki!D:D,MATCH(osm!B73,maki!C:C,0))</f>
        <v>#N/A</v>
      </c>
    </row>
    <row r="74" spans="1:3" x14ac:dyDescent="0.3">
      <c r="A74" t="s">
        <v>72</v>
      </c>
      <c r="B74" t="s">
        <v>116</v>
      </c>
      <c r="C74" t="str">
        <f>INDEX(maki!D:D,MATCH(osm!B74,maki!C:C,0))</f>
        <v>lodging</v>
      </c>
    </row>
    <row r="75" spans="1:3" x14ac:dyDescent="0.3">
      <c r="A75" t="s">
        <v>73</v>
      </c>
      <c r="B75" t="s">
        <v>368</v>
      </c>
      <c r="C75" t="str">
        <f>INDEX(maki!D:D,MATCH(osm!B75,maki!C:C,0))</f>
        <v>food_and_drink</v>
      </c>
    </row>
    <row r="76" spans="1:3" x14ac:dyDescent="0.3">
      <c r="A76" t="s">
        <v>74</v>
      </c>
      <c r="B76" t="s">
        <v>369</v>
      </c>
      <c r="C76" t="str">
        <f>INDEX(maki!D:D,MATCH(osm!B76,maki!C:C,0))</f>
        <v>motorist</v>
      </c>
    </row>
    <row r="77" spans="1:3" x14ac:dyDescent="0.3">
      <c r="A77" t="s">
        <v>75</v>
      </c>
      <c r="B77" t="s">
        <v>236</v>
      </c>
      <c r="C77" t="str">
        <f>INDEX(maki!D:D,MATCH(osm!B77,maki!C:C,0))</f>
        <v>food_and_drink</v>
      </c>
    </row>
    <row r="78" spans="1:3" x14ac:dyDescent="0.3">
      <c r="A78" t="s">
        <v>76</v>
      </c>
      <c r="B78" t="s">
        <v>370</v>
      </c>
      <c r="C78" t="str">
        <f>INDEX(maki!D:D,MATCH(osm!B78,maki!C:C,0))</f>
        <v>public_facilities</v>
      </c>
    </row>
    <row r="79" spans="1:3" x14ac:dyDescent="0.3">
      <c r="A79" t="s">
        <v>77</v>
      </c>
      <c r="B79" t="s">
        <v>78</v>
      </c>
      <c r="C79" t="e">
        <f>INDEX(maki!D:D,MATCH(osm!B79,maki!C:C,0))</f>
        <v>#N/A</v>
      </c>
    </row>
    <row r="80" spans="1:3" x14ac:dyDescent="0.3">
      <c r="A80" t="s">
        <v>78</v>
      </c>
      <c r="B80" t="s">
        <v>372</v>
      </c>
      <c r="C80" t="str">
        <f>INDEX(maki!D:D,MATCH(osm!B80,maki!C:C,0))</f>
        <v>motorist</v>
      </c>
    </row>
    <row r="81" spans="1:3" x14ac:dyDescent="0.3">
      <c r="A81" t="s">
        <v>79</v>
      </c>
      <c r="B81" t="s">
        <v>91</v>
      </c>
      <c r="C81" t="e">
        <f>INDEX(maki!D:D,MATCH(osm!B81,maki!C:C,0))</f>
        <v>#N/A</v>
      </c>
    </row>
    <row r="82" spans="1:3" x14ac:dyDescent="0.3">
      <c r="A82" t="s">
        <v>80</v>
      </c>
      <c r="B82" t="s">
        <v>80</v>
      </c>
      <c r="C82" t="e">
        <f>INDEX(maki!D:D,MATCH(osm!B82,maki!C:C,0))</f>
        <v>#N/A</v>
      </c>
    </row>
    <row r="83" spans="1:3" x14ac:dyDescent="0.3">
      <c r="A83" t="s">
        <v>81</v>
      </c>
      <c r="B83" t="s">
        <v>236</v>
      </c>
      <c r="C83" t="str">
        <f>INDEX(maki!D:D,MATCH(osm!B83,maki!C:C,0))</f>
        <v>food_and_drink</v>
      </c>
    </row>
    <row r="84" spans="1:3" x14ac:dyDescent="0.3">
      <c r="A84" t="s">
        <v>82</v>
      </c>
      <c r="B84" t="s">
        <v>224</v>
      </c>
      <c r="C84" t="str">
        <f>INDEX(maki!D:D,MATCH(osm!B84,maki!C:C,0))</f>
        <v>food_and_drink_stores</v>
      </c>
    </row>
    <row r="85" spans="1:3" x14ac:dyDescent="0.3">
      <c r="A85" t="s">
        <v>83</v>
      </c>
      <c r="B85" t="s">
        <v>237</v>
      </c>
      <c r="C85" t="str">
        <f>INDEX(maki!D:D,MATCH(osm!B85,maki!C:C,0))</f>
        <v>store_like</v>
      </c>
    </row>
    <row r="86" spans="1:3" x14ac:dyDescent="0.3">
      <c r="A86" t="s">
        <v>84</v>
      </c>
      <c r="B86" t="s">
        <v>84</v>
      </c>
      <c r="C86" t="str">
        <f>INDEX(maki!D:D,MATCH(osm!B86,maki!C:C,0))</f>
        <v>park_like</v>
      </c>
    </row>
    <row r="87" spans="1:3" x14ac:dyDescent="0.3">
      <c r="A87" t="s">
        <v>85</v>
      </c>
      <c r="B87" t="s">
        <v>222</v>
      </c>
      <c r="C87" t="str">
        <f>INDEX(maki!D:D,MATCH(osm!B87,maki!C:C,0))</f>
        <v>motorist</v>
      </c>
    </row>
    <row r="88" spans="1:3" x14ac:dyDescent="0.3">
      <c r="A88" t="s">
        <v>86</v>
      </c>
      <c r="B88" t="s">
        <v>237</v>
      </c>
      <c r="C88" t="str">
        <f>INDEX(maki!D:D,MATCH(osm!B88,maki!C:C,0))</f>
        <v>store_like</v>
      </c>
    </row>
    <row r="89" spans="1:3" x14ac:dyDescent="0.3">
      <c r="A89" t="s">
        <v>87</v>
      </c>
      <c r="B89" t="s">
        <v>223</v>
      </c>
      <c r="C89" t="str">
        <f>INDEX(maki!D:D,MATCH(osm!B89,maki!C:C,0))</f>
        <v>sport_and_leisure</v>
      </c>
    </row>
    <row r="90" spans="1:3" x14ac:dyDescent="0.3">
      <c r="A90" t="s">
        <v>88</v>
      </c>
      <c r="B90" t="s">
        <v>381</v>
      </c>
      <c r="C90" t="str">
        <f>INDEX(maki!D:D,MATCH(osm!B90,maki!C:C,0))</f>
        <v>building</v>
      </c>
    </row>
    <row r="91" spans="1:3" x14ac:dyDescent="0.3">
      <c r="A91" t="s">
        <v>89</v>
      </c>
      <c r="B91" t="s">
        <v>224</v>
      </c>
      <c r="C91" t="str">
        <f>INDEX(maki!D:D,MATCH(osm!B91,maki!C:C,0))</f>
        <v>food_and_drink_stores</v>
      </c>
    </row>
    <row r="92" spans="1:3" x14ac:dyDescent="0.3">
      <c r="A92" t="s">
        <v>90</v>
      </c>
      <c r="B92" t="s">
        <v>116</v>
      </c>
      <c r="C92" t="str">
        <f>INDEX(maki!D:D,MATCH(osm!B92,maki!C:C,0))</f>
        <v>lodging</v>
      </c>
    </row>
    <row r="93" spans="1:3" x14ac:dyDescent="0.3">
      <c r="A93" t="s">
        <v>91</v>
      </c>
      <c r="B93" t="s">
        <v>91</v>
      </c>
      <c r="C93" t="e">
        <f>INDEX(maki!D:D,MATCH(osm!B93,maki!C:C,0))</f>
        <v>#N/A</v>
      </c>
    </row>
    <row r="94" spans="1:3" x14ac:dyDescent="0.3">
      <c r="A94" t="s">
        <v>92</v>
      </c>
      <c r="B94" t="s">
        <v>237</v>
      </c>
      <c r="C94" t="str">
        <f>INDEX(maki!D:D,MATCH(osm!B94,maki!C:C,0))</f>
        <v>store_like</v>
      </c>
    </row>
    <row r="95" spans="1:3" x14ac:dyDescent="0.3">
      <c r="A95" t="s">
        <v>93</v>
      </c>
      <c r="B95" t="s">
        <v>237</v>
      </c>
      <c r="C95" t="str">
        <f>INDEX(maki!D:D,MATCH(osm!B95,maki!C:C,0))</f>
        <v>store_like</v>
      </c>
    </row>
    <row r="96" spans="1:3" x14ac:dyDescent="0.3">
      <c r="A96" t="s">
        <v>94</v>
      </c>
      <c r="B96" t="s">
        <v>94</v>
      </c>
      <c r="C96" t="str">
        <f>INDEX(maki!D:D,MATCH(osm!B96,maki!C:C,0))</f>
        <v>motorist</v>
      </c>
    </row>
    <row r="97" spans="1:3" x14ac:dyDescent="0.3">
      <c r="A97" t="s">
        <v>95</v>
      </c>
      <c r="B97" t="s">
        <v>200</v>
      </c>
      <c r="C97" t="str">
        <f>INDEX(maki!D:D,MATCH(osm!B97,maki!C:C,0))</f>
        <v>park_like</v>
      </c>
    </row>
    <row r="98" spans="1:3" x14ac:dyDescent="0.3">
      <c r="A98" t="s">
        <v>96</v>
      </c>
      <c r="B98" t="s">
        <v>373</v>
      </c>
      <c r="C98" t="str">
        <f>INDEX(maki!D:D,MATCH(osm!B98,maki!C:C,0))</f>
        <v>religion</v>
      </c>
    </row>
    <row r="99" spans="1:3" x14ac:dyDescent="0.3">
      <c r="A99" t="s">
        <v>97</v>
      </c>
      <c r="B99" t="s">
        <v>121</v>
      </c>
      <c r="C99" t="str">
        <f>INDEX(maki!D:D,MATCH(osm!B99,maki!C:C,0))</f>
        <v>historic</v>
      </c>
    </row>
    <row r="100" spans="1:3" x14ac:dyDescent="0.3">
      <c r="A100" t="s">
        <v>98</v>
      </c>
      <c r="B100" t="s">
        <v>121</v>
      </c>
      <c r="C100" t="str">
        <f>INDEX(maki!D:D,MATCH(osm!B100,maki!C:C,0))</f>
        <v>historic</v>
      </c>
    </row>
    <row r="101" spans="1:3" x14ac:dyDescent="0.3">
      <c r="A101" t="s">
        <v>99</v>
      </c>
      <c r="B101" t="s">
        <v>237</v>
      </c>
      <c r="C101" t="str">
        <f>INDEX(maki!D:D,MATCH(osm!B101,maki!C:C,0))</f>
        <v>store_like</v>
      </c>
    </row>
    <row r="102" spans="1:3" x14ac:dyDescent="0.3">
      <c r="A102" t="s">
        <v>100</v>
      </c>
      <c r="B102" t="s">
        <v>237</v>
      </c>
      <c r="C102" t="str">
        <f>INDEX(maki!D:D,MATCH(osm!B102,maki!C:C,0))</f>
        <v>store_like</v>
      </c>
    </row>
    <row r="103" spans="1:3" x14ac:dyDescent="0.3">
      <c r="A103" t="s">
        <v>101</v>
      </c>
      <c r="B103" t="s">
        <v>101</v>
      </c>
      <c r="C103" t="str">
        <f>INDEX(maki!D:D,MATCH(osm!B103,maki!C:C,0))</f>
        <v>medical</v>
      </c>
    </row>
    <row r="104" spans="1:3" x14ac:dyDescent="0.3">
      <c r="A104" t="s">
        <v>102</v>
      </c>
      <c r="B104" t="s">
        <v>386</v>
      </c>
      <c r="C104" t="e">
        <f>INDEX(maki!D:D,MATCH(osm!B104,maki!C:C,0))</f>
        <v>#N/A</v>
      </c>
    </row>
    <row r="105" spans="1:3" x14ac:dyDescent="0.3">
      <c r="A105" t="s">
        <v>103</v>
      </c>
      <c r="B105" t="s">
        <v>371</v>
      </c>
      <c r="C105" t="str">
        <f>INDEX(maki!D:D,MATCH(osm!B105,maki!C:C,0))</f>
        <v>food_and_drink_stores</v>
      </c>
    </row>
    <row r="106" spans="1:3" x14ac:dyDescent="0.3">
      <c r="A106" t="s">
        <v>104</v>
      </c>
      <c r="B106" t="s">
        <v>238</v>
      </c>
      <c r="C106" t="str">
        <f>INDEX(maki!D:D,MATCH(osm!B106,maki!C:C,0))</f>
        <v>sport_and_leisure</v>
      </c>
    </row>
    <row r="107" spans="1:3" x14ac:dyDescent="0.3">
      <c r="A107" t="s">
        <v>105</v>
      </c>
      <c r="B107" t="s">
        <v>236</v>
      </c>
      <c r="C107" t="str">
        <f>INDEX(maki!D:D,MATCH(osm!B107,maki!C:C,0))</f>
        <v>food_and_drink</v>
      </c>
    </row>
    <row r="108" spans="1:3" x14ac:dyDescent="0.3">
      <c r="A108" t="s">
        <v>106</v>
      </c>
      <c r="B108" t="s">
        <v>116</v>
      </c>
      <c r="C108" t="str">
        <f>INDEX(maki!D:D,MATCH(osm!B108,maki!C:C,0))</f>
        <v>lodging</v>
      </c>
    </row>
    <row r="109" spans="1:3" x14ac:dyDescent="0.3">
      <c r="A109" t="s">
        <v>107</v>
      </c>
      <c r="B109" t="s">
        <v>237</v>
      </c>
      <c r="C109" t="str">
        <f>INDEX(maki!D:D,MATCH(osm!B109,maki!C:C,0))</f>
        <v>store_like</v>
      </c>
    </row>
    <row r="110" spans="1:3" x14ac:dyDescent="0.3">
      <c r="A110" t="s">
        <v>108</v>
      </c>
      <c r="B110" t="s">
        <v>4</v>
      </c>
      <c r="C110" t="str">
        <f>INDEX(maki!D:D,MATCH(osm!B110,maki!C:C,0))</f>
        <v>motorist</v>
      </c>
    </row>
    <row r="111" spans="1:3" x14ac:dyDescent="0.3">
      <c r="A111" t="s">
        <v>109</v>
      </c>
      <c r="B111" t="s">
        <v>209</v>
      </c>
      <c r="C111" t="str">
        <f>INDEX(maki!D:D,MATCH(osm!B111,maki!C:C,0))</f>
        <v>food_and_drink</v>
      </c>
    </row>
    <row r="112" spans="1:3" x14ac:dyDescent="0.3">
      <c r="A112" t="s">
        <v>110</v>
      </c>
      <c r="B112" t="s">
        <v>237</v>
      </c>
      <c r="C112" t="str">
        <f>INDEX(maki!D:D,MATCH(osm!B112,maki!C:C,0))</f>
        <v>store_like</v>
      </c>
    </row>
    <row r="113" spans="1:3" x14ac:dyDescent="0.3">
      <c r="A113" t="s">
        <v>111</v>
      </c>
      <c r="B113" t="s">
        <v>209</v>
      </c>
      <c r="C113" t="str">
        <f>INDEX(maki!D:D,MATCH(osm!B113,maki!C:C,0))</f>
        <v>food_and_drink</v>
      </c>
    </row>
    <row r="114" spans="1:3" x14ac:dyDescent="0.3">
      <c r="A114" t="s">
        <v>112</v>
      </c>
      <c r="B114" t="s">
        <v>112</v>
      </c>
      <c r="C114" t="str">
        <f>INDEX(maki!D:D,MATCH(osm!B114,maki!C:C,0))</f>
        <v>education</v>
      </c>
    </row>
    <row r="115" spans="1:3" x14ac:dyDescent="0.3">
      <c r="A115" t="s">
        <v>113</v>
      </c>
      <c r="B115" t="s">
        <v>374</v>
      </c>
      <c r="C115" t="str">
        <f>INDEX(maki!D:D,MATCH(osm!B115,maki!C:C,0))</f>
        <v>motorist</v>
      </c>
    </row>
    <row r="116" spans="1:3" x14ac:dyDescent="0.3">
      <c r="A116" t="s">
        <v>114</v>
      </c>
      <c r="B116" t="s">
        <v>237</v>
      </c>
      <c r="C116" t="str">
        <f>INDEX(maki!D:D,MATCH(osm!B116,maki!C:C,0))</f>
        <v>store_like</v>
      </c>
    </row>
    <row r="117" spans="1:3" x14ac:dyDescent="0.3">
      <c r="A117" t="s">
        <v>115</v>
      </c>
      <c r="B117" t="s">
        <v>381</v>
      </c>
      <c r="C117" t="str">
        <f>INDEX(maki!D:D,MATCH(osm!B117,maki!C:C,0))</f>
        <v>building</v>
      </c>
    </row>
    <row r="118" spans="1:3" x14ac:dyDescent="0.3">
      <c r="A118" t="s">
        <v>116</v>
      </c>
      <c r="B118" t="s">
        <v>116</v>
      </c>
      <c r="C118" t="str">
        <f>INDEX(maki!D:D,MATCH(osm!B118,maki!C:C,0))</f>
        <v>lodging</v>
      </c>
    </row>
    <row r="119" spans="1:3" x14ac:dyDescent="0.3">
      <c r="A119" t="s">
        <v>117</v>
      </c>
      <c r="B119" t="s">
        <v>224</v>
      </c>
      <c r="C119" t="str">
        <f>INDEX(maki!D:D,MATCH(osm!B119,maki!C:C,0))</f>
        <v>food_and_drink_stores</v>
      </c>
    </row>
    <row r="120" spans="1:3" x14ac:dyDescent="0.3">
      <c r="A120" t="s">
        <v>118</v>
      </c>
      <c r="B120" t="s">
        <v>236</v>
      </c>
      <c r="C120" t="str">
        <f>INDEX(maki!D:D,MATCH(osm!B120,maki!C:C,0))</f>
        <v>food_and_drink</v>
      </c>
    </row>
    <row r="121" spans="1:3" x14ac:dyDescent="0.3">
      <c r="A121" t="s">
        <v>119</v>
      </c>
      <c r="B121" t="s">
        <v>368</v>
      </c>
      <c r="C121" t="str">
        <f>INDEX(maki!D:D,MATCH(osm!B121,maki!C:C,0))</f>
        <v>food_and_drink</v>
      </c>
    </row>
    <row r="122" spans="1:3" x14ac:dyDescent="0.3">
      <c r="A122" t="s">
        <v>120</v>
      </c>
      <c r="B122" t="s">
        <v>101</v>
      </c>
      <c r="C122" t="str">
        <f>INDEX(maki!D:D,MATCH(osm!B122,maki!C:C,0))</f>
        <v>medical</v>
      </c>
    </row>
    <row r="123" spans="1:3" x14ac:dyDescent="0.3">
      <c r="A123" t="s">
        <v>121</v>
      </c>
      <c r="B123" t="s">
        <v>121</v>
      </c>
      <c r="C123" t="str">
        <f>INDEX(maki!D:D,MATCH(osm!B123,maki!C:C,0))</f>
        <v>historic</v>
      </c>
    </row>
    <row r="124" spans="1:3" x14ac:dyDescent="0.3">
      <c r="A124" t="s">
        <v>122</v>
      </c>
      <c r="B124" t="s">
        <v>379</v>
      </c>
      <c r="C124" t="str">
        <f>INDEX(maki!D:D,MATCH(osm!B124,maki!C:C,0))</f>
        <v>religion</v>
      </c>
    </row>
    <row r="125" spans="1:3" x14ac:dyDescent="0.3">
      <c r="A125" t="s">
        <v>123</v>
      </c>
      <c r="B125" t="s">
        <v>116</v>
      </c>
      <c r="C125" t="str">
        <f>INDEX(maki!D:D,MATCH(osm!B125,maki!C:C,0))</f>
        <v>lodging</v>
      </c>
    </row>
    <row r="126" spans="1:3" x14ac:dyDescent="0.3">
      <c r="A126" t="s">
        <v>124</v>
      </c>
      <c r="B126" t="s">
        <v>213</v>
      </c>
      <c r="C126" t="str">
        <f>INDEX(maki!D:D,MATCH(osm!B126,maki!C:C,0))</f>
        <v>arts_and_entertainment</v>
      </c>
    </row>
    <row r="127" spans="1:3" x14ac:dyDescent="0.3">
      <c r="A127" t="s">
        <v>125</v>
      </c>
      <c r="B127" t="s">
        <v>313</v>
      </c>
      <c r="C127" t="str">
        <f>INDEX(maki!D:D,MATCH(osm!B127,maki!C:C,0))</f>
        <v>building</v>
      </c>
    </row>
    <row r="128" spans="1:3" x14ac:dyDescent="0.3">
      <c r="A128" t="s">
        <v>126</v>
      </c>
      <c r="B128" t="s">
        <v>126</v>
      </c>
      <c r="C128" t="str">
        <f>INDEX(maki!D:D,MATCH(osm!B128,maki!C:C,0))</f>
        <v>arts_and_entertainment</v>
      </c>
    </row>
    <row r="129" spans="1:3" x14ac:dyDescent="0.3">
      <c r="A129" t="s">
        <v>127</v>
      </c>
      <c r="B129" t="s">
        <v>129</v>
      </c>
      <c r="C129" t="str">
        <f>INDEX(maki!D:D,MATCH(osm!B129,maki!C:C,0))</f>
        <v>park_like</v>
      </c>
    </row>
    <row r="130" spans="1:3" x14ac:dyDescent="0.3">
      <c r="A130" t="s">
        <v>128</v>
      </c>
      <c r="B130" t="s">
        <v>229</v>
      </c>
      <c r="C130" t="str">
        <f>INDEX(maki!D:D,MATCH(osm!B130,maki!C:C,0))</f>
        <v>arts_and_entertainment</v>
      </c>
    </row>
    <row r="131" spans="1:3" x14ac:dyDescent="0.3">
      <c r="A131" t="s">
        <v>129</v>
      </c>
      <c r="B131" t="s">
        <v>129</v>
      </c>
      <c r="C131" t="str">
        <f>INDEX(maki!D:D,MATCH(osm!B131,maki!C:C,0))</f>
        <v>park_like</v>
      </c>
    </row>
    <row r="132" spans="1:3" x14ac:dyDescent="0.3">
      <c r="A132" t="s">
        <v>130</v>
      </c>
      <c r="B132" t="s">
        <v>129</v>
      </c>
      <c r="C132" t="str">
        <f>INDEX(maki!D:D,MATCH(osm!B132,maki!C:C,0))</f>
        <v>park_like</v>
      </c>
    </row>
    <row r="133" spans="1:3" x14ac:dyDescent="0.3">
      <c r="A133" t="s">
        <v>131</v>
      </c>
      <c r="B133" t="s">
        <v>199</v>
      </c>
      <c r="C133" t="e">
        <f>INDEX(maki!D:D,MATCH(osm!B133,maki!C:C,0))</f>
        <v>#N/A</v>
      </c>
    </row>
    <row r="134" spans="1:3" x14ac:dyDescent="0.3">
      <c r="A134" t="s">
        <v>132</v>
      </c>
      <c r="B134" t="s">
        <v>239</v>
      </c>
      <c r="C134" t="str">
        <f>INDEX(maki!D:D,MATCH(osm!B134,maki!C:C,0))</f>
        <v>arts_and_entertainment</v>
      </c>
    </row>
    <row r="135" spans="1:3" x14ac:dyDescent="0.3">
      <c r="A135" t="s">
        <v>133</v>
      </c>
      <c r="B135" t="s">
        <v>237</v>
      </c>
      <c r="C135" t="str">
        <f>INDEX(maki!D:D,MATCH(osm!B135,maki!C:C,0))</f>
        <v>store_like</v>
      </c>
    </row>
    <row r="136" spans="1:3" x14ac:dyDescent="0.3">
      <c r="A136" t="s">
        <v>134</v>
      </c>
      <c r="B136" t="s">
        <v>134</v>
      </c>
      <c r="C136" t="str">
        <f>INDEX(maki!D:D,MATCH(osm!B136,maki!C:C,0))</f>
        <v>medical</v>
      </c>
    </row>
    <row r="137" spans="1:3" x14ac:dyDescent="0.3">
      <c r="A137" t="s">
        <v>135</v>
      </c>
      <c r="B137" t="s">
        <v>372</v>
      </c>
      <c r="C137" t="str">
        <f>INDEX(maki!D:D,MATCH(osm!B137,maki!C:C,0))</f>
        <v>motorist</v>
      </c>
    </row>
    <row r="138" spans="1:3" x14ac:dyDescent="0.3">
      <c r="A138" t="s">
        <v>136</v>
      </c>
      <c r="B138" t="s">
        <v>236</v>
      </c>
      <c r="C138" t="str">
        <f>INDEX(maki!D:D,MATCH(osm!B138,maki!C:C,0))</f>
        <v>food_and_drink</v>
      </c>
    </row>
    <row r="139" spans="1:3" x14ac:dyDescent="0.3">
      <c r="A139" t="s">
        <v>137</v>
      </c>
      <c r="B139" t="s">
        <v>137</v>
      </c>
      <c r="C139" t="str">
        <f>INDEX(maki!D:D,MATCH(osm!B139,maki!C:C,0))</f>
        <v>park_like</v>
      </c>
    </row>
    <row r="140" spans="1:3" x14ac:dyDescent="0.3">
      <c r="A140" t="s">
        <v>138</v>
      </c>
      <c r="B140" t="s">
        <v>363</v>
      </c>
      <c r="C140" t="e">
        <f>INDEX(maki!D:D,MATCH(osm!B140,maki!C:C,0))</f>
        <v>#N/A</v>
      </c>
    </row>
    <row r="141" spans="1:3" x14ac:dyDescent="0.3">
      <c r="A141" t="s">
        <v>139</v>
      </c>
      <c r="B141" t="s">
        <v>139</v>
      </c>
      <c r="C141" t="str">
        <f>INDEX(maki!D:D,MATCH(osm!B141,maki!C:C,0))</f>
        <v>public_facilities</v>
      </c>
    </row>
    <row r="142" spans="1:3" x14ac:dyDescent="0.3">
      <c r="A142" t="s">
        <v>140</v>
      </c>
      <c r="B142" t="s">
        <v>232</v>
      </c>
      <c r="C142" t="str">
        <f>INDEX(maki!D:D,MATCH(osm!B142,maki!C:C,0))</f>
        <v>industrial</v>
      </c>
    </row>
    <row r="143" spans="1:3" x14ac:dyDescent="0.3">
      <c r="A143" t="s">
        <v>141</v>
      </c>
      <c r="B143" t="s">
        <v>153</v>
      </c>
      <c r="C143" t="str">
        <f>INDEX(maki!D:D,MATCH(osm!B143,maki!C:C,0))</f>
        <v>education</v>
      </c>
    </row>
    <row r="144" spans="1:3" x14ac:dyDescent="0.3">
      <c r="A144" t="s">
        <v>142</v>
      </c>
      <c r="B144" t="s">
        <v>153</v>
      </c>
      <c r="C144" t="str">
        <f>INDEX(maki!D:D,MATCH(osm!B144,maki!C:C,0))</f>
        <v>education</v>
      </c>
    </row>
    <row r="145" spans="1:3" x14ac:dyDescent="0.3">
      <c r="A145" t="s">
        <v>143</v>
      </c>
      <c r="B145" t="s">
        <v>143</v>
      </c>
      <c r="C145" t="str">
        <f>INDEX(maki!D:D,MATCH(osm!B145,maki!C:C,0))</f>
        <v>public_facilities</v>
      </c>
    </row>
    <row r="146" spans="1:3" x14ac:dyDescent="0.3">
      <c r="A146" t="s">
        <v>144</v>
      </c>
      <c r="B146" t="s">
        <v>116</v>
      </c>
      <c r="C146" t="str">
        <f>INDEX(maki!D:D,MATCH(osm!B146,maki!C:C,0))</f>
        <v>lodging</v>
      </c>
    </row>
    <row r="147" spans="1:3" x14ac:dyDescent="0.3">
      <c r="A147" t="s">
        <v>145</v>
      </c>
      <c r="B147" t="s">
        <v>16</v>
      </c>
      <c r="C147" t="str">
        <f>INDEX(maki!D:D,MATCH(osm!B147,maki!C:C,0))</f>
        <v>food_and_drink</v>
      </c>
    </row>
    <row r="148" spans="1:3" x14ac:dyDescent="0.3">
      <c r="A148" t="s">
        <v>146</v>
      </c>
      <c r="B148" t="s">
        <v>238</v>
      </c>
      <c r="C148" t="str">
        <f>INDEX(maki!D:D,MATCH(osm!B148,maki!C:C,0))</f>
        <v>sport_and_leisure</v>
      </c>
    </row>
    <row r="149" spans="1:3" x14ac:dyDescent="0.3">
      <c r="A149" t="s">
        <v>147</v>
      </c>
      <c r="B149" t="s">
        <v>240</v>
      </c>
      <c r="C149" t="str">
        <f>INDEX(maki!D:D,MATCH(osm!B149,maki!C:C,0))</f>
        <v>public_facilities</v>
      </c>
    </row>
    <row r="150" spans="1:3" x14ac:dyDescent="0.3">
      <c r="A150" t="s">
        <v>148</v>
      </c>
      <c r="B150" t="s">
        <v>313</v>
      </c>
      <c r="C150" t="str">
        <f>INDEX(maki!D:D,MATCH(osm!B150,maki!C:C,0))</f>
        <v>building</v>
      </c>
    </row>
    <row r="151" spans="1:3" x14ac:dyDescent="0.3">
      <c r="A151" t="s">
        <v>149</v>
      </c>
      <c r="B151" t="s">
        <v>116</v>
      </c>
      <c r="C151" t="str">
        <f>INDEX(maki!D:D,MATCH(osm!B151,maki!C:C,0))</f>
        <v>lodging</v>
      </c>
    </row>
    <row r="152" spans="1:3" x14ac:dyDescent="0.3">
      <c r="A152" t="s">
        <v>150</v>
      </c>
      <c r="B152" t="s">
        <v>313</v>
      </c>
      <c r="C152" t="str">
        <f>INDEX(maki!D:D,MATCH(osm!B152,maki!C:C,0))</f>
        <v>building</v>
      </c>
    </row>
    <row r="153" spans="1:3" x14ac:dyDescent="0.3">
      <c r="A153" t="s">
        <v>151</v>
      </c>
      <c r="B153" t="s">
        <v>360</v>
      </c>
      <c r="C153" t="str">
        <f>INDEX(maki!D:D,MATCH(osm!B153,maki!C:C,0))</f>
        <v>sport_and_leisure</v>
      </c>
    </row>
    <row r="154" spans="1:3" x14ac:dyDescent="0.3">
      <c r="A154" t="s">
        <v>152</v>
      </c>
      <c r="B154" t="s">
        <v>209</v>
      </c>
      <c r="C154" t="str">
        <f>INDEX(maki!D:D,MATCH(osm!B154,maki!C:C,0))</f>
        <v>food_and_drink</v>
      </c>
    </row>
    <row r="155" spans="1:3" x14ac:dyDescent="0.3">
      <c r="A155" t="s">
        <v>153</v>
      </c>
      <c r="B155" t="s">
        <v>153</v>
      </c>
      <c r="C155" t="str">
        <f>INDEX(maki!D:D,MATCH(osm!B155,maki!C:C,0))</f>
        <v>education</v>
      </c>
    </row>
    <row r="156" spans="1:3" x14ac:dyDescent="0.3">
      <c r="A156" t="s">
        <v>154</v>
      </c>
      <c r="B156" t="s">
        <v>121</v>
      </c>
      <c r="C156" t="str">
        <f>INDEX(maki!D:D,MATCH(osm!B156,maki!C:C,0))</f>
        <v>historic</v>
      </c>
    </row>
    <row r="157" spans="1:3" x14ac:dyDescent="0.3">
      <c r="A157" t="s">
        <v>155</v>
      </c>
      <c r="B157" t="s">
        <v>236</v>
      </c>
      <c r="C157" t="str">
        <f>INDEX(maki!D:D,MATCH(osm!B157,maki!C:C,0))</f>
        <v>food_and_drink</v>
      </c>
    </row>
    <row r="158" spans="1:3" x14ac:dyDescent="0.3">
      <c r="A158" t="s">
        <v>156</v>
      </c>
      <c r="B158" t="s">
        <v>153</v>
      </c>
      <c r="C158" t="str">
        <f>INDEX(maki!D:D,MATCH(osm!B158,maki!C:C,0))</f>
        <v>education</v>
      </c>
    </row>
    <row r="159" spans="1:3" x14ac:dyDescent="0.3">
      <c r="A159" t="s">
        <v>157</v>
      </c>
      <c r="B159" t="s">
        <v>237</v>
      </c>
      <c r="C159" t="str">
        <f>INDEX(maki!D:D,MATCH(osm!B159,maki!C:C,0))</f>
        <v>store_like</v>
      </c>
    </row>
    <row r="160" spans="1:3" x14ac:dyDescent="0.3">
      <c r="A160" t="s">
        <v>158</v>
      </c>
      <c r="B160" t="s">
        <v>237</v>
      </c>
      <c r="C160" t="str">
        <f>INDEX(maki!D:D,MATCH(osm!B160,maki!C:C,0))</f>
        <v>store_like</v>
      </c>
    </row>
    <row r="161" spans="1:3" x14ac:dyDescent="0.3">
      <c r="A161" t="s">
        <v>159</v>
      </c>
      <c r="B161" t="s">
        <v>129</v>
      </c>
      <c r="C161" t="str">
        <f>INDEX(maki!D:D,MATCH(osm!B161,maki!C:C,0))</f>
        <v>park_like</v>
      </c>
    </row>
    <row r="162" spans="1:3" x14ac:dyDescent="0.3">
      <c r="A162" t="s">
        <v>160</v>
      </c>
      <c r="B162" t="s">
        <v>200</v>
      </c>
      <c r="C162" t="str">
        <f>INDEX(maki!D:D,MATCH(osm!B162,maki!C:C,0))</f>
        <v>park_like</v>
      </c>
    </row>
    <row r="163" spans="1:3" x14ac:dyDescent="0.3">
      <c r="A163" t="s">
        <v>161</v>
      </c>
      <c r="B163" t="s">
        <v>237</v>
      </c>
      <c r="C163" t="str">
        <f>INDEX(maki!D:D,MATCH(osm!B163,maki!C:C,0))</f>
        <v>store_like</v>
      </c>
    </row>
    <row r="164" spans="1:3" x14ac:dyDescent="0.3">
      <c r="A164" t="s">
        <v>162</v>
      </c>
      <c r="B164" t="s">
        <v>238</v>
      </c>
      <c r="C164" t="str">
        <f>INDEX(maki!D:D,MATCH(osm!B164,maki!C:C,0))</f>
        <v>sport_and_leisure</v>
      </c>
    </row>
    <row r="165" spans="1:3" x14ac:dyDescent="0.3">
      <c r="A165" t="s">
        <v>163</v>
      </c>
      <c r="B165" t="s">
        <v>237</v>
      </c>
      <c r="C165" t="str">
        <f>INDEX(maki!D:D,MATCH(osm!B165,maki!C:C,0))</f>
        <v>store_like</v>
      </c>
    </row>
    <row r="166" spans="1:3" x14ac:dyDescent="0.3">
      <c r="A166" t="s">
        <v>164</v>
      </c>
      <c r="B166" t="s">
        <v>167</v>
      </c>
      <c r="C166" t="str">
        <f>INDEX(maki!D:D,MATCH(osm!B166,maki!C:C,0))</f>
        <v>sport_and_leisure</v>
      </c>
    </row>
    <row r="167" spans="1:3" x14ac:dyDescent="0.3">
      <c r="A167" t="s">
        <v>165</v>
      </c>
      <c r="B167" t="s">
        <v>167</v>
      </c>
      <c r="C167" t="str">
        <f>INDEX(maki!D:D,MATCH(osm!B167,maki!C:C,0))</f>
        <v>sport_and_leisure</v>
      </c>
    </row>
    <row r="168" spans="1:3" x14ac:dyDescent="0.3">
      <c r="A168" t="s">
        <v>166</v>
      </c>
      <c r="B168" t="s">
        <v>167</v>
      </c>
      <c r="C168" t="str">
        <f>INDEX(maki!D:D,MATCH(osm!B168,maki!C:C,0))</f>
        <v>sport_and_leisure</v>
      </c>
    </row>
    <row r="169" spans="1:3" x14ac:dyDescent="0.3">
      <c r="A169" t="s">
        <v>167</v>
      </c>
      <c r="B169" t="s">
        <v>167</v>
      </c>
      <c r="C169" t="str">
        <f>INDEX(maki!D:D,MATCH(osm!B169,maki!C:C,0))</f>
        <v>sport_and_leisure</v>
      </c>
    </row>
    <row r="170" spans="1:3" x14ac:dyDescent="0.3">
      <c r="A170" t="s">
        <v>168</v>
      </c>
      <c r="B170" t="s">
        <v>129</v>
      </c>
      <c r="C170" t="str">
        <f>INDEX(maki!D:D,MATCH(osm!B170,maki!C:C,0))</f>
        <v>park_like</v>
      </c>
    </row>
    <row r="171" spans="1:3" x14ac:dyDescent="0.3">
      <c r="A171" t="s">
        <v>169</v>
      </c>
      <c r="B171" t="s">
        <v>236</v>
      </c>
      <c r="C171" t="str">
        <f>INDEX(maki!D:D,MATCH(osm!B171,maki!C:C,0))</f>
        <v>food_and_drink</v>
      </c>
    </row>
    <row r="172" spans="1:3" x14ac:dyDescent="0.3">
      <c r="A172" t="s">
        <v>170</v>
      </c>
      <c r="B172" t="s">
        <v>224</v>
      </c>
      <c r="C172" t="str">
        <f>INDEX(maki!D:D,MATCH(osm!B172,maki!C:C,0))</f>
        <v>food_and_drink_stores</v>
      </c>
    </row>
    <row r="173" spans="1:3" x14ac:dyDescent="0.3">
      <c r="A173" t="s">
        <v>171</v>
      </c>
      <c r="B173" t="s">
        <v>375</v>
      </c>
      <c r="C173" t="str">
        <f>INDEX(maki!D:D,MATCH(osm!B173,maki!C:C,0))</f>
        <v>motorist</v>
      </c>
    </row>
    <row r="174" spans="1:3" x14ac:dyDescent="0.3">
      <c r="A174" t="s">
        <v>172</v>
      </c>
      <c r="B174" t="s">
        <v>387</v>
      </c>
      <c r="C174" t="e">
        <f>INDEX(maki!D:D,MATCH(osm!B174,maki!C:C,0))</f>
        <v>#N/A</v>
      </c>
    </row>
    <row r="175" spans="1:3" x14ac:dyDescent="0.3">
      <c r="A175" t="s">
        <v>173</v>
      </c>
      <c r="B175" t="s">
        <v>224</v>
      </c>
      <c r="C175" t="str">
        <f>INDEX(maki!D:D,MATCH(osm!B175,maki!C:C,0))</f>
        <v>food_and_drink_stores</v>
      </c>
    </row>
    <row r="176" spans="1:3" x14ac:dyDescent="0.3">
      <c r="A176" t="s">
        <v>174</v>
      </c>
      <c r="B176" t="s">
        <v>238</v>
      </c>
      <c r="C176" t="str">
        <f>INDEX(maki!D:D,MATCH(osm!B176,maki!C:C,0))</f>
        <v>sport_and_leisure</v>
      </c>
    </row>
    <row r="177" spans="1:3" x14ac:dyDescent="0.3">
      <c r="A177" t="s">
        <v>175</v>
      </c>
      <c r="B177" t="s">
        <v>211</v>
      </c>
      <c r="C177" t="str">
        <f>INDEX(maki!D:D,MATCH(osm!B177,maki!C:C,0))</f>
        <v>motorist</v>
      </c>
    </row>
    <row r="178" spans="1:3" x14ac:dyDescent="0.3">
      <c r="A178" t="s">
        <v>176</v>
      </c>
      <c r="B178" t="s">
        <v>209</v>
      </c>
      <c r="C178" t="str">
        <f>INDEX(maki!D:D,MATCH(osm!B178,maki!C:C,0))</f>
        <v>food_and_drink</v>
      </c>
    </row>
    <row r="179" spans="1:3" x14ac:dyDescent="0.3">
      <c r="A179" t="s">
        <v>177</v>
      </c>
      <c r="B179" t="s">
        <v>237</v>
      </c>
      <c r="C179" t="str">
        <f>INDEX(maki!D:D,MATCH(osm!B179,maki!C:C,0))</f>
        <v>store_like</v>
      </c>
    </row>
    <row r="180" spans="1:3" x14ac:dyDescent="0.3">
      <c r="A180" t="s">
        <v>178</v>
      </c>
      <c r="B180" t="s">
        <v>313</v>
      </c>
      <c r="C180" t="str">
        <f>INDEX(maki!D:D,MATCH(osm!B180,maki!C:C,0))</f>
        <v>building</v>
      </c>
    </row>
    <row r="181" spans="1:3" x14ac:dyDescent="0.3">
      <c r="A181" t="s">
        <v>179</v>
      </c>
      <c r="B181" t="s">
        <v>206</v>
      </c>
      <c r="C181" t="str">
        <f>INDEX(maki!D:D,MATCH(osm!B181,maki!C:C,0))</f>
        <v>visitor_amenities</v>
      </c>
    </row>
    <row r="182" spans="1:3" x14ac:dyDescent="0.3">
      <c r="A182" t="s">
        <v>180</v>
      </c>
      <c r="B182" t="s">
        <v>227</v>
      </c>
      <c r="C182" t="str">
        <f>INDEX(maki!D:D,MATCH(osm!B182,maki!C:C,0))</f>
        <v>visitor_amenities</v>
      </c>
    </row>
    <row r="183" spans="1:3" x14ac:dyDescent="0.3">
      <c r="A183" t="s">
        <v>181</v>
      </c>
      <c r="B183" t="s">
        <v>376</v>
      </c>
      <c r="C183" t="str">
        <f>INDEX(maki!D:D,MATCH(osm!B183,maki!C:C,0))</f>
        <v>motorist</v>
      </c>
    </row>
    <row r="184" spans="1:3" x14ac:dyDescent="0.3">
      <c r="A184" t="s">
        <v>182</v>
      </c>
      <c r="B184" t="s">
        <v>313</v>
      </c>
      <c r="C184" t="str">
        <f>INDEX(maki!D:D,MATCH(osm!B184,maki!C:C,0))</f>
        <v>building</v>
      </c>
    </row>
    <row r="185" spans="1:3" x14ac:dyDescent="0.3">
      <c r="A185" t="s">
        <v>183</v>
      </c>
      <c r="B185" t="s">
        <v>376</v>
      </c>
      <c r="C185" t="str">
        <f>INDEX(maki!D:D,MATCH(osm!B185,maki!C:C,0))</f>
        <v>motorist</v>
      </c>
    </row>
    <row r="186" spans="1:3" x14ac:dyDescent="0.3">
      <c r="A186" t="s">
        <v>184</v>
      </c>
      <c r="B186" t="s">
        <v>313</v>
      </c>
      <c r="C186" t="str">
        <f>INDEX(maki!D:D,MATCH(osm!B186,maki!C:C,0))</f>
        <v>building</v>
      </c>
    </row>
    <row r="187" spans="1:3" x14ac:dyDescent="0.3">
      <c r="A187" t="s">
        <v>185</v>
      </c>
      <c r="B187" t="s">
        <v>222</v>
      </c>
      <c r="C187" t="str">
        <f>INDEX(maki!D:D,MATCH(osm!B187,maki!C:C,0))</f>
        <v>motorist</v>
      </c>
    </row>
    <row r="188" spans="1:3" x14ac:dyDescent="0.3">
      <c r="A188" t="s">
        <v>186</v>
      </c>
      <c r="B188" t="s">
        <v>215</v>
      </c>
      <c r="C188" t="str">
        <f>INDEX(maki!D:D,MATCH(osm!B188,maki!C:C,0))</f>
        <v>education</v>
      </c>
    </row>
    <row r="189" spans="1:3" x14ac:dyDescent="0.3">
      <c r="A189" t="s">
        <v>187</v>
      </c>
      <c r="B189" t="s">
        <v>242</v>
      </c>
      <c r="C189" t="str">
        <f>INDEX(maki!D:D,MATCH(osm!B189,maki!C:C,0))</f>
        <v>medical</v>
      </c>
    </row>
    <row r="190" spans="1:3" x14ac:dyDescent="0.3">
      <c r="A190" t="s">
        <v>188</v>
      </c>
      <c r="B190" t="s">
        <v>227</v>
      </c>
      <c r="C190" t="str">
        <f>INDEX(maki!D:D,MATCH(osm!B190,maki!C:C,0))</f>
        <v>visitor_amenities</v>
      </c>
    </row>
    <row r="191" spans="1:3" x14ac:dyDescent="0.3">
      <c r="A191" t="s">
        <v>189</v>
      </c>
      <c r="B191" t="s">
        <v>224</v>
      </c>
      <c r="C191" t="str">
        <f>INDEX(maki!D:D,MATCH(osm!B191,maki!C:C,0))</f>
        <v>food_and_drink_stores</v>
      </c>
    </row>
    <row r="192" spans="1:3" x14ac:dyDescent="0.3">
      <c r="A192" t="s">
        <v>190</v>
      </c>
      <c r="B192" t="s">
        <v>238</v>
      </c>
      <c r="C192" t="str">
        <f>INDEX(maki!D:D,MATCH(osm!B192,maki!C:C,0))</f>
        <v>sport_and_leisure</v>
      </c>
    </row>
    <row r="193" spans="1:3" x14ac:dyDescent="0.3">
      <c r="A193" t="s">
        <v>191</v>
      </c>
      <c r="B193" t="s">
        <v>199</v>
      </c>
      <c r="C193" t="e">
        <f>INDEX(maki!D:D,MATCH(osm!B193,maki!C:C,0))</f>
        <v>#N/A</v>
      </c>
    </row>
    <row r="194" spans="1:3" x14ac:dyDescent="0.3">
      <c r="A194" t="s">
        <v>192</v>
      </c>
      <c r="B194" t="s">
        <v>224</v>
      </c>
      <c r="C194" t="str">
        <f>INDEX(maki!D:D,MATCH(osm!B194,maki!C:C,0))</f>
        <v>food_and_drink_stores</v>
      </c>
    </row>
    <row r="195" spans="1:3" x14ac:dyDescent="0.3">
      <c r="A195" t="s">
        <v>193</v>
      </c>
      <c r="B195" t="s">
        <v>129</v>
      </c>
      <c r="C195" t="str">
        <f>INDEX(maki!D:D,MATCH(osm!B195,maki!C:C,0))</f>
        <v>park_like</v>
      </c>
    </row>
    <row r="196" spans="1:3" x14ac:dyDescent="0.3">
      <c r="A196" t="s">
        <v>194</v>
      </c>
      <c r="B196" t="s">
        <v>129</v>
      </c>
      <c r="C196" t="str">
        <f>INDEX(maki!D:D,MATCH(osm!B196,maki!C:C,0))</f>
        <v>park_like</v>
      </c>
    </row>
    <row r="197" spans="1:3" x14ac:dyDescent="0.3">
      <c r="A197" t="s">
        <v>195</v>
      </c>
      <c r="B197" t="s">
        <v>16</v>
      </c>
      <c r="C197" t="str">
        <f>INDEX(maki!D:D,MATCH(osm!B197,maki!C:C,0))</f>
        <v>food_and_drink</v>
      </c>
    </row>
    <row r="198" spans="1:3" x14ac:dyDescent="0.3">
      <c r="A198" t="s">
        <v>196</v>
      </c>
      <c r="B198" t="s">
        <v>196</v>
      </c>
      <c r="C198" t="str">
        <f>INDEX(maki!D:D,MATCH(osm!B198,maki!C:C,0))</f>
        <v>park_like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A1D9-23AA-4D24-9CF1-531B8B6F26A3}">
  <dimension ref="B1:F216"/>
  <sheetViews>
    <sheetView tabSelected="1" workbookViewId="0">
      <selection activeCell="B22" sqref="B22"/>
    </sheetView>
  </sheetViews>
  <sheetFormatPr defaultRowHeight="14.4" x14ac:dyDescent="0.3"/>
  <cols>
    <col min="2" max="2" width="17.88671875" customWidth="1"/>
    <col min="4" max="4" width="19.88671875" bestFit="1" customWidth="1"/>
    <col min="6" max="6" width="20.21875" bestFit="1" customWidth="1"/>
  </cols>
  <sheetData>
    <row r="1" spans="2:6" x14ac:dyDescent="0.3">
      <c r="B1" s="1" t="s">
        <v>384</v>
      </c>
      <c r="D1" s="2" t="s">
        <v>292</v>
      </c>
      <c r="F1" s="2" t="s">
        <v>353</v>
      </c>
    </row>
    <row r="2" spans="2:6" x14ac:dyDescent="0.3">
      <c r="B2" t="s">
        <v>197</v>
      </c>
      <c r="D2" s="3" t="s">
        <v>389</v>
      </c>
      <c r="F2" s="3" t="s">
        <v>316</v>
      </c>
    </row>
    <row r="3" spans="2:6" x14ac:dyDescent="0.3">
      <c r="B3" t="s">
        <v>4</v>
      </c>
      <c r="D3" s="3" t="s">
        <v>197</v>
      </c>
      <c r="F3" s="3" t="s">
        <v>314</v>
      </c>
    </row>
    <row r="4" spans="2:6" x14ac:dyDescent="0.3">
      <c r="B4" t="s">
        <v>359</v>
      </c>
      <c r="D4" s="3" t="s">
        <v>4</v>
      </c>
      <c r="F4" s="3" t="s">
        <v>317</v>
      </c>
    </row>
    <row r="5" spans="2:6" x14ac:dyDescent="0.3">
      <c r="B5" t="s">
        <v>360</v>
      </c>
      <c r="D5" s="3" t="s">
        <v>202</v>
      </c>
      <c r="F5" s="3" t="s">
        <v>319</v>
      </c>
    </row>
    <row r="6" spans="2:6" x14ac:dyDescent="0.3">
      <c r="B6" t="s">
        <v>204</v>
      </c>
      <c r="D6" s="3" t="s">
        <v>321</v>
      </c>
      <c r="F6" s="3" t="s">
        <v>320</v>
      </c>
    </row>
    <row r="7" spans="2:6" x14ac:dyDescent="0.3">
      <c r="B7" t="s">
        <v>361</v>
      </c>
      <c r="D7" s="3" t="s">
        <v>203</v>
      </c>
      <c r="F7" s="3" t="s">
        <v>322</v>
      </c>
    </row>
    <row r="8" spans="2:6" x14ac:dyDescent="0.3">
      <c r="B8" t="s">
        <v>206</v>
      </c>
      <c r="D8" s="3" t="s">
        <v>390</v>
      </c>
      <c r="F8" s="3" t="s">
        <v>323</v>
      </c>
    </row>
    <row r="9" spans="2:6" x14ac:dyDescent="0.3">
      <c r="B9" t="s">
        <v>14</v>
      </c>
      <c r="D9" s="3" t="s">
        <v>204</v>
      </c>
      <c r="F9" s="3" t="s">
        <v>324</v>
      </c>
    </row>
    <row r="10" spans="2:6" x14ac:dyDescent="0.3">
      <c r="B10" t="s">
        <v>15</v>
      </c>
      <c r="D10" s="3" t="s">
        <v>391</v>
      </c>
      <c r="F10" s="3" t="s">
        <v>325</v>
      </c>
    </row>
    <row r="11" spans="2:6" x14ac:dyDescent="0.3">
      <c r="B11" t="s">
        <v>16</v>
      </c>
      <c r="D11" s="3" t="s">
        <v>205</v>
      </c>
      <c r="F11" s="3" t="s">
        <v>326</v>
      </c>
    </row>
    <row r="12" spans="2:6" x14ac:dyDescent="0.3">
      <c r="B12" t="s">
        <v>207</v>
      </c>
      <c r="D12" s="3" t="s">
        <v>206</v>
      </c>
      <c r="F12" s="3" t="s">
        <v>331</v>
      </c>
    </row>
    <row r="13" spans="2:6" x14ac:dyDescent="0.3">
      <c r="B13" t="s">
        <v>208</v>
      </c>
      <c r="D13" s="3" t="s">
        <v>14</v>
      </c>
      <c r="F13" s="3" t="s">
        <v>332</v>
      </c>
    </row>
    <row r="14" spans="2:6" x14ac:dyDescent="0.3">
      <c r="B14" t="s">
        <v>362</v>
      </c>
      <c r="D14" s="3" t="s">
        <v>392</v>
      </c>
      <c r="F14" s="3" t="s">
        <v>333</v>
      </c>
    </row>
    <row r="15" spans="2:6" x14ac:dyDescent="0.3">
      <c r="B15" t="s">
        <v>244</v>
      </c>
      <c r="D15" s="3" t="s">
        <v>15</v>
      </c>
      <c r="F15" s="3" t="s">
        <v>334</v>
      </c>
    </row>
    <row r="16" spans="2:6" x14ac:dyDescent="0.3">
      <c r="B16" t="s">
        <v>209</v>
      </c>
      <c r="D16" s="3" t="s">
        <v>16</v>
      </c>
      <c r="F16" s="3" t="s">
        <v>335</v>
      </c>
    </row>
    <row r="17" spans="2:6" x14ac:dyDescent="0.3">
      <c r="B17" t="s">
        <v>210</v>
      </c>
      <c r="D17" s="3" t="s">
        <v>393</v>
      </c>
      <c r="F17" s="3" t="s">
        <v>336</v>
      </c>
    </row>
    <row r="18" spans="2:6" x14ac:dyDescent="0.3">
      <c r="B18" t="s">
        <v>211</v>
      </c>
      <c r="D18" s="3" t="s">
        <v>394</v>
      </c>
      <c r="F18" s="3" t="s">
        <v>26</v>
      </c>
    </row>
    <row r="19" spans="2:6" x14ac:dyDescent="0.3">
      <c r="B19" t="s">
        <v>212</v>
      </c>
      <c r="D19" s="3" t="s">
        <v>296</v>
      </c>
      <c r="F19" s="3" t="s">
        <v>116</v>
      </c>
    </row>
    <row r="20" spans="2:6" x14ac:dyDescent="0.3">
      <c r="B20" t="s">
        <v>38</v>
      </c>
      <c r="D20" s="3" t="s">
        <v>395</v>
      </c>
      <c r="F20" s="3" t="s">
        <v>342</v>
      </c>
    </row>
    <row r="21" spans="2:6" x14ac:dyDescent="0.3">
      <c r="B21" t="s">
        <v>213</v>
      </c>
      <c r="D21" s="3" t="s">
        <v>327</v>
      </c>
      <c r="F21" s="3"/>
    </row>
    <row r="22" spans="2:6" x14ac:dyDescent="0.3">
      <c r="B22" t="s">
        <v>363</v>
      </c>
      <c r="D22" s="3" t="s">
        <v>207</v>
      </c>
    </row>
    <row r="23" spans="2:6" x14ac:dyDescent="0.3">
      <c r="B23" t="s">
        <v>364</v>
      </c>
      <c r="D23" s="3" t="s">
        <v>243</v>
      </c>
    </row>
    <row r="24" spans="2:6" x14ac:dyDescent="0.3">
      <c r="B24" t="s">
        <v>365</v>
      </c>
      <c r="D24" s="3" t="s">
        <v>208</v>
      </c>
    </row>
    <row r="25" spans="2:6" x14ac:dyDescent="0.3">
      <c r="B25" t="s">
        <v>215</v>
      </c>
      <c r="D25" s="3" t="s">
        <v>396</v>
      </c>
    </row>
    <row r="26" spans="2:6" x14ac:dyDescent="0.3">
      <c r="B26" t="s">
        <v>216</v>
      </c>
      <c r="D26" s="3" t="s">
        <v>328</v>
      </c>
    </row>
    <row r="27" spans="2:6" x14ac:dyDescent="0.3">
      <c r="B27" t="s">
        <v>217</v>
      </c>
      <c r="D27" s="3" t="s">
        <v>329</v>
      </c>
    </row>
    <row r="28" spans="2:6" x14ac:dyDescent="0.3">
      <c r="B28" t="s">
        <v>366</v>
      </c>
      <c r="D28" s="3" t="s">
        <v>397</v>
      </c>
    </row>
    <row r="29" spans="2:6" x14ac:dyDescent="0.3">
      <c r="B29" t="s">
        <v>367</v>
      </c>
      <c r="D29" s="3" t="s">
        <v>26</v>
      </c>
    </row>
    <row r="30" spans="2:6" x14ac:dyDescent="0.3">
      <c r="B30" t="s">
        <v>69</v>
      </c>
      <c r="D30" s="3" t="s">
        <v>244</v>
      </c>
    </row>
    <row r="31" spans="2:6" x14ac:dyDescent="0.3">
      <c r="B31" t="s">
        <v>249</v>
      </c>
      <c r="D31" s="3" t="s">
        <v>209</v>
      </c>
    </row>
    <row r="32" spans="2:6" x14ac:dyDescent="0.3">
      <c r="B32" t="s">
        <v>368</v>
      </c>
      <c r="D32" s="3" t="s">
        <v>210</v>
      </c>
    </row>
    <row r="33" spans="2:4" x14ac:dyDescent="0.3">
      <c r="B33" t="s">
        <v>369</v>
      </c>
      <c r="D33" s="3" t="s">
        <v>298</v>
      </c>
    </row>
    <row r="34" spans="2:4" x14ac:dyDescent="0.3">
      <c r="B34" t="s">
        <v>370</v>
      </c>
      <c r="D34" s="3" t="s">
        <v>299</v>
      </c>
    </row>
    <row r="35" spans="2:4" x14ac:dyDescent="0.3">
      <c r="B35" t="s">
        <v>222</v>
      </c>
      <c r="D35" s="3" t="s">
        <v>211</v>
      </c>
    </row>
    <row r="36" spans="2:4" x14ac:dyDescent="0.3">
      <c r="B36" t="s">
        <v>84</v>
      </c>
      <c r="D36" s="3" t="s">
        <v>330</v>
      </c>
    </row>
    <row r="37" spans="2:4" x14ac:dyDescent="0.3">
      <c r="B37" t="s">
        <v>223</v>
      </c>
      <c r="D37" s="3" t="s">
        <v>398</v>
      </c>
    </row>
    <row r="38" spans="2:4" x14ac:dyDescent="0.3">
      <c r="B38" t="s">
        <v>224</v>
      </c>
      <c r="D38" s="3" t="s">
        <v>212</v>
      </c>
    </row>
    <row r="39" spans="2:4" x14ac:dyDescent="0.3">
      <c r="B39" t="s">
        <v>225</v>
      </c>
      <c r="D39" s="3" t="s">
        <v>399</v>
      </c>
    </row>
    <row r="40" spans="2:4" x14ac:dyDescent="0.3">
      <c r="B40" t="s">
        <v>94</v>
      </c>
      <c r="D40" s="3" t="s">
        <v>400</v>
      </c>
    </row>
    <row r="41" spans="2:4" x14ac:dyDescent="0.3">
      <c r="B41" t="s">
        <v>101</v>
      </c>
      <c r="D41" s="3" t="s">
        <v>38</v>
      </c>
    </row>
    <row r="42" spans="2:4" x14ac:dyDescent="0.3">
      <c r="B42" t="s">
        <v>371</v>
      </c>
      <c r="D42" s="3" t="s">
        <v>303</v>
      </c>
    </row>
    <row r="43" spans="2:4" x14ac:dyDescent="0.3">
      <c r="B43" t="s">
        <v>227</v>
      </c>
      <c r="D43" s="3" t="s">
        <v>213</v>
      </c>
    </row>
    <row r="44" spans="2:4" x14ac:dyDescent="0.3">
      <c r="B44" t="s">
        <v>228</v>
      </c>
      <c r="D44" s="3" t="s">
        <v>401</v>
      </c>
    </row>
    <row r="45" spans="2:4" x14ac:dyDescent="0.3">
      <c r="B45" t="s">
        <v>112</v>
      </c>
      <c r="D45" s="3" t="s">
        <v>363</v>
      </c>
    </row>
    <row r="46" spans="2:4" x14ac:dyDescent="0.3">
      <c r="B46" t="s">
        <v>116</v>
      </c>
      <c r="D46" s="3" t="s">
        <v>402</v>
      </c>
    </row>
    <row r="47" spans="2:4" x14ac:dyDescent="0.3">
      <c r="B47" t="s">
        <v>199</v>
      </c>
      <c r="D47" s="3" t="s">
        <v>214</v>
      </c>
    </row>
    <row r="48" spans="2:4" x14ac:dyDescent="0.3">
      <c r="B48" t="s">
        <v>121</v>
      </c>
      <c r="D48" s="3" t="s">
        <v>403</v>
      </c>
    </row>
    <row r="49" spans="2:4" x14ac:dyDescent="0.3">
      <c r="B49" t="s">
        <v>200</v>
      </c>
      <c r="D49" s="3" t="s">
        <v>215</v>
      </c>
    </row>
    <row r="50" spans="2:4" x14ac:dyDescent="0.3">
      <c r="B50" t="s">
        <v>126</v>
      </c>
      <c r="D50" s="3" t="s">
        <v>404</v>
      </c>
    </row>
    <row r="51" spans="2:4" x14ac:dyDescent="0.3">
      <c r="B51" t="s">
        <v>229</v>
      </c>
      <c r="D51" s="3" t="s">
        <v>302</v>
      </c>
    </row>
    <row r="52" spans="2:4" x14ac:dyDescent="0.3">
      <c r="B52" t="s">
        <v>129</v>
      </c>
      <c r="D52" s="3" t="s">
        <v>51</v>
      </c>
    </row>
    <row r="53" spans="2:4" x14ac:dyDescent="0.3">
      <c r="B53" t="s">
        <v>134</v>
      </c>
      <c r="D53" s="3" t="s">
        <v>405</v>
      </c>
    </row>
    <row r="54" spans="2:4" x14ac:dyDescent="0.3">
      <c r="B54" t="s">
        <v>372</v>
      </c>
      <c r="D54" s="3" t="s">
        <v>301</v>
      </c>
    </row>
    <row r="55" spans="2:4" x14ac:dyDescent="0.3">
      <c r="B55" t="s">
        <v>341</v>
      </c>
      <c r="D55" s="3" t="s">
        <v>406</v>
      </c>
    </row>
    <row r="56" spans="2:4" x14ac:dyDescent="0.3">
      <c r="B56" t="s">
        <v>373</v>
      </c>
      <c r="D56" s="3" t="s">
        <v>407</v>
      </c>
    </row>
    <row r="57" spans="2:4" x14ac:dyDescent="0.3">
      <c r="B57" t="s">
        <v>137</v>
      </c>
      <c r="D57" s="3" t="s">
        <v>408</v>
      </c>
    </row>
    <row r="58" spans="2:4" x14ac:dyDescent="0.3">
      <c r="B58" t="s">
        <v>139</v>
      </c>
      <c r="D58" s="3" t="s">
        <v>409</v>
      </c>
    </row>
    <row r="59" spans="2:4" x14ac:dyDescent="0.3">
      <c r="B59" t="s">
        <v>232</v>
      </c>
      <c r="D59" s="3" t="s">
        <v>410</v>
      </c>
    </row>
    <row r="60" spans="2:4" x14ac:dyDescent="0.3">
      <c r="B60" t="s">
        <v>143</v>
      </c>
      <c r="D60" s="3" t="s">
        <v>216</v>
      </c>
    </row>
    <row r="61" spans="2:4" x14ac:dyDescent="0.3">
      <c r="B61" t="s">
        <v>374</v>
      </c>
      <c r="D61" s="3" t="s">
        <v>411</v>
      </c>
    </row>
    <row r="62" spans="2:4" x14ac:dyDescent="0.3">
      <c r="B62" t="s">
        <v>375</v>
      </c>
      <c r="D62" s="3" t="s">
        <v>217</v>
      </c>
    </row>
    <row r="63" spans="2:4" x14ac:dyDescent="0.3">
      <c r="B63" t="s">
        <v>376</v>
      </c>
      <c r="D63" s="3" t="s">
        <v>218</v>
      </c>
    </row>
    <row r="64" spans="2:4" x14ac:dyDescent="0.3">
      <c r="B64" t="s">
        <v>377</v>
      </c>
      <c r="D64" s="3" t="s">
        <v>219</v>
      </c>
    </row>
    <row r="65" spans="2:4" x14ac:dyDescent="0.3">
      <c r="B65" t="s">
        <v>378</v>
      </c>
      <c r="D65" s="3" t="s">
        <v>412</v>
      </c>
    </row>
    <row r="66" spans="2:4" x14ac:dyDescent="0.3">
      <c r="B66" t="s">
        <v>379</v>
      </c>
      <c r="D66" s="3" t="s">
        <v>69</v>
      </c>
    </row>
    <row r="67" spans="2:4" x14ac:dyDescent="0.3">
      <c r="B67" t="s">
        <v>236</v>
      </c>
      <c r="D67" s="3" t="s">
        <v>413</v>
      </c>
    </row>
    <row r="68" spans="2:4" x14ac:dyDescent="0.3">
      <c r="B68" t="s">
        <v>198</v>
      </c>
      <c r="D68" s="3" t="s">
        <v>414</v>
      </c>
    </row>
    <row r="69" spans="2:4" x14ac:dyDescent="0.3">
      <c r="B69" t="s">
        <v>153</v>
      </c>
      <c r="D69" s="3" t="s">
        <v>249</v>
      </c>
    </row>
    <row r="70" spans="2:4" x14ac:dyDescent="0.3">
      <c r="B70" t="s">
        <v>237</v>
      </c>
      <c r="D70" s="3" t="s">
        <v>71</v>
      </c>
    </row>
    <row r="71" spans="2:4" x14ac:dyDescent="0.3">
      <c r="B71" t="s">
        <v>167</v>
      </c>
      <c r="D71" s="3" t="s">
        <v>220</v>
      </c>
    </row>
    <row r="72" spans="2:4" x14ac:dyDescent="0.3">
      <c r="B72" t="s">
        <v>380</v>
      </c>
      <c r="D72" s="3" t="s">
        <v>415</v>
      </c>
    </row>
    <row r="73" spans="2:4" x14ac:dyDescent="0.3">
      <c r="B73" t="s">
        <v>313</v>
      </c>
      <c r="D73" s="3" t="s">
        <v>416</v>
      </c>
    </row>
    <row r="74" spans="2:4" x14ac:dyDescent="0.3">
      <c r="B74" t="s">
        <v>238</v>
      </c>
      <c r="D74" s="3" t="s">
        <v>245</v>
      </c>
    </row>
    <row r="75" spans="2:4" x14ac:dyDescent="0.3">
      <c r="B75" t="s">
        <v>239</v>
      </c>
      <c r="D75" s="3" t="s">
        <v>417</v>
      </c>
    </row>
    <row r="76" spans="2:4" x14ac:dyDescent="0.3">
      <c r="B76" t="s">
        <v>240</v>
      </c>
      <c r="D76" s="3" t="s">
        <v>221</v>
      </c>
    </row>
    <row r="77" spans="2:4" x14ac:dyDescent="0.3">
      <c r="B77" t="s">
        <v>381</v>
      </c>
      <c r="D77" s="3" t="s">
        <v>304</v>
      </c>
    </row>
    <row r="78" spans="2:4" x14ac:dyDescent="0.3">
      <c r="B78" t="s">
        <v>382</v>
      </c>
      <c r="D78" s="3" t="s">
        <v>418</v>
      </c>
    </row>
    <row r="79" spans="2:4" x14ac:dyDescent="0.3">
      <c r="B79" t="s">
        <v>383</v>
      </c>
      <c r="D79" s="3" t="s">
        <v>222</v>
      </c>
    </row>
    <row r="80" spans="2:4" x14ac:dyDescent="0.3">
      <c r="B80" t="s">
        <v>242</v>
      </c>
      <c r="D80" s="3" t="s">
        <v>305</v>
      </c>
    </row>
    <row r="81" spans="2:4" x14ac:dyDescent="0.3">
      <c r="B81" t="s">
        <v>201</v>
      </c>
      <c r="D81" s="3" t="s">
        <v>419</v>
      </c>
    </row>
    <row r="82" spans="2:4" x14ac:dyDescent="0.3">
      <c r="B82" t="s">
        <v>196</v>
      </c>
      <c r="D82" s="3" t="s">
        <v>420</v>
      </c>
    </row>
    <row r="83" spans="2:4" x14ac:dyDescent="0.3">
      <c r="D83" s="3" t="s">
        <v>84</v>
      </c>
    </row>
    <row r="84" spans="2:4" x14ac:dyDescent="0.3">
      <c r="D84" s="3" t="s">
        <v>421</v>
      </c>
    </row>
    <row r="85" spans="2:4" x14ac:dyDescent="0.3">
      <c r="D85" s="3" t="s">
        <v>422</v>
      </c>
    </row>
    <row r="86" spans="2:4" x14ac:dyDescent="0.3">
      <c r="D86" s="3" t="s">
        <v>337</v>
      </c>
    </row>
    <row r="87" spans="2:4" x14ac:dyDescent="0.3">
      <c r="D87" s="3" t="s">
        <v>223</v>
      </c>
    </row>
    <row r="88" spans="2:4" x14ac:dyDescent="0.3">
      <c r="D88" s="3" t="s">
        <v>224</v>
      </c>
    </row>
    <row r="89" spans="2:4" x14ac:dyDescent="0.3">
      <c r="D89" s="3" t="s">
        <v>423</v>
      </c>
    </row>
    <row r="90" spans="2:4" x14ac:dyDescent="0.3">
      <c r="D90" s="3" t="s">
        <v>225</v>
      </c>
    </row>
    <row r="91" spans="2:4" x14ac:dyDescent="0.3">
      <c r="D91" s="3" t="s">
        <v>306</v>
      </c>
    </row>
    <row r="92" spans="2:4" x14ac:dyDescent="0.3">
      <c r="D92" s="3" t="s">
        <v>424</v>
      </c>
    </row>
    <row r="93" spans="2:4" x14ac:dyDescent="0.3">
      <c r="D93" s="3" t="s">
        <v>94</v>
      </c>
    </row>
    <row r="94" spans="2:4" x14ac:dyDescent="0.3">
      <c r="D94" s="3" t="s">
        <v>425</v>
      </c>
    </row>
    <row r="95" spans="2:4" x14ac:dyDescent="0.3">
      <c r="D95" s="3" t="s">
        <v>331</v>
      </c>
    </row>
    <row r="96" spans="2:4" x14ac:dyDescent="0.3">
      <c r="D96" s="3" t="s">
        <v>426</v>
      </c>
    </row>
    <row r="97" spans="4:4" x14ac:dyDescent="0.3">
      <c r="D97" s="3" t="s">
        <v>338</v>
      </c>
    </row>
    <row r="98" spans="4:4" x14ac:dyDescent="0.3">
      <c r="D98" s="3" t="s">
        <v>427</v>
      </c>
    </row>
    <row r="99" spans="4:4" x14ac:dyDescent="0.3">
      <c r="D99" s="3" t="s">
        <v>101</v>
      </c>
    </row>
    <row r="100" spans="4:4" x14ac:dyDescent="0.3">
      <c r="D100" s="3" t="s">
        <v>428</v>
      </c>
    </row>
    <row r="101" spans="4:4" x14ac:dyDescent="0.3">
      <c r="D101" s="3" t="s">
        <v>226</v>
      </c>
    </row>
    <row r="102" spans="4:4" x14ac:dyDescent="0.3">
      <c r="D102" s="3" t="s">
        <v>429</v>
      </c>
    </row>
    <row r="103" spans="4:4" x14ac:dyDescent="0.3">
      <c r="D103" s="3" t="s">
        <v>227</v>
      </c>
    </row>
    <row r="104" spans="4:4" x14ac:dyDescent="0.3">
      <c r="D104" s="3" t="s">
        <v>307</v>
      </c>
    </row>
    <row r="105" spans="4:4" x14ac:dyDescent="0.3">
      <c r="D105" s="3" t="s">
        <v>430</v>
      </c>
    </row>
    <row r="106" spans="4:4" x14ac:dyDescent="0.3">
      <c r="D106" s="3" t="s">
        <v>431</v>
      </c>
    </row>
    <row r="107" spans="4:4" x14ac:dyDescent="0.3">
      <c r="D107" s="3" t="s">
        <v>314</v>
      </c>
    </row>
    <row r="108" spans="4:4" x14ac:dyDescent="0.3">
      <c r="D108" s="3" t="s">
        <v>432</v>
      </c>
    </row>
    <row r="109" spans="4:4" x14ac:dyDescent="0.3">
      <c r="D109" s="3" t="s">
        <v>228</v>
      </c>
    </row>
    <row r="110" spans="4:4" x14ac:dyDescent="0.3">
      <c r="D110" s="3" t="s">
        <v>112</v>
      </c>
    </row>
    <row r="111" spans="4:4" x14ac:dyDescent="0.3">
      <c r="D111" s="3" t="s">
        <v>433</v>
      </c>
    </row>
    <row r="112" spans="4:4" x14ac:dyDescent="0.3">
      <c r="D112" s="3" t="s">
        <v>434</v>
      </c>
    </row>
    <row r="113" spans="4:4" x14ac:dyDescent="0.3">
      <c r="D113" s="3" t="s">
        <v>435</v>
      </c>
    </row>
    <row r="114" spans="4:4" x14ac:dyDescent="0.3">
      <c r="D114" s="3" t="s">
        <v>116</v>
      </c>
    </row>
    <row r="115" spans="4:4" x14ac:dyDescent="0.3">
      <c r="D115" s="3" t="s">
        <v>388</v>
      </c>
    </row>
    <row r="116" spans="4:4" x14ac:dyDescent="0.3">
      <c r="D116" s="3" t="s">
        <v>436</v>
      </c>
    </row>
    <row r="117" spans="4:4" x14ac:dyDescent="0.3">
      <c r="D117" s="3" t="s">
        <v>437</v>
      </c>
    </row>
    <row r="118" spans="4:4" x14ac:dyDescent="0.3">
      <c r="D118" t="s">
        <v>199</v>
      </c>
    </row>
    <row r="119" spans="4:4" x14ac:dyDescent="0.3">
      <c r="D119" t="s">
        <v>300</v>
      </c>
    </row>
    <row r="120" spans="4:4" x14ac:dyDescent="0.3">
      <c r="D120" t="s">
        <v>438</v>
      </c>
    </row>
    <row r="121" spans="4:4" x14ac:dyDescent="0.3">
      <c r="D121" t="s">
        <v>121</v>
      </c>
    </row>
    <row r="122" spans="4:4" x14ac:dyDescent="0.3">
      <c r="D122" t="s">
        <v>200</v>
      </c>
    </row>
    <row r="123" spans="4:4" x14ac:dyDescent="0.3">
      <c r="D123" t="s">
        <v>126</v>
      </c>
    </row>
    <row r="124" spans="4:4" x14ac:dyDescent="0.3">
      <c r="D124" t="s">
        <v>229</v>
      </c>
    </row>
    <row r="125" spans="4:4" x14ac:dyDescent="0.3">
      <c r="D125" t="s">
        <v>439</v>
      </c>
    </row>
    <row r="126" spans="4:4" x14ac:dyDescent="0.3">
      <c r="D126" t="s">
        <v>440</v>
      </c>
    </row>
    <row r="127" spans="4:4" x14ac:dyDescent="0.3">
      <c r="D127" t="s">
        <v>441</v>
      </c>
    </row>
    <row r="128" spans="4:4" x14ac:dyDescent="0.3">
      <c r="D128" t="s">
        <v>339</v>
      </c>
    </row>
    <row r="129" spans="4:4" x14ac:dyDescent="0.3">
      <c r="D129" t="s">
        <v>442</v>
      </c>
    </row>
    <row r="130" spans="4:4" x14ac:dyDescent="0.3">
      <c r="D130" t="s">
        <v>443</v>
      </c>
    </row>
    <row r="131" spans="4:4" x14ac:dyDescent="0.3">
      <c r="D131" t="s">
        <v>129</v>
      </c>
    </row>
    <row r="132" spans="4:4" x14ac:dyDescent="0.3">
      <c r="D132" t="s">
        <v>340</v>
      </c>
    </row>
    <row r="133" spans="4:4" x14ac:dyDescent="0.3">
      <c r="D133" t="s">
        <v>444</v>
      </c>
    </row>
    <row r="134" spans="4:4" x14ac:dyDescent="0.3">
      <c r="D134" t="s">
        <v>131</v>
      </c>
    </row>
    <row r="135" spans="4:4" x14ac:dyDescent="0.3">
      <c r="D135" t="s">
        <v>134</v>
      </c>
    </row>
    <row r="136" spans="4:4" x14ac:dyDescent="0.3">
      <c r="D136" t="s">
        <v>230</v>
      </c>
    </row>
    <row r="137" spans="4:4" x14ac:dyDescent="0.3">
      <c r="D137" t="s">
        <v>341</v>
      </c>
    </row>
    <row r="138" spans="4:4" x14ac:dyDescent="0.3">
      <c r="D138" t="s">
        <v>231</v>
      </c>
    </row>
    <row r="139" spans="4:4" x14ac:dyDescent="0.3">
      <c r="D139" t="s">
        <v>137</v>
      </c>
    </row>
    <row r="140" spans="4:4" x14ac:dyDescent="0.3">
      <c r="D140" t="s">
        <v>445</v>
      </c>
    </row>
    <row r="141" spans="4:4" x14ac:dyDescent="0.3">
      <c r="D141" t="s">
        <v>139</v>
      </c>
    </row>
    <row r="142" spans="4:4" x14ac:dyDescent="0.3">
      <c r="D142" t="s">
        <v>446</v>
      </c>
    </row>
    <row r="143" spans="4:4" x14ac:dyDescent="0.3">
      <c r="D143" t="s">
        <v>232</v>
      </c>
    </row>
    <row r="144" spans="4:4" x14ac:dyDescent="0.3">
      <c r="D144" t="s">
        <v>143</v>
      </c>
    </row>
    <row r="145" spans="4:4" x14ac:dyDescent="0.3">
      <c r="D145" t="s">
        <v>447</v>
      </c>
    </row>
    <row r="146" spans="4:4" x14ac:dyDescent="0.3">
      <c r="D146" t="s">
        <v>448</v>
      </c>
    </row>
    <row r="147" spans="4:4" x14ac:dyDescent="0.3">
      <c r="D147" t="s">
        <v>449</v>
      </c>
    </row>
    <row r="148" spans="4:4" x14ac:dyDescent="0.3">
      <c r="D148" t="s">
        <v>450</v>
      </c>
    </row>
    <row r="149" spans="4:4" x14ac:dyDescent="0.3">
      <c r="D149" t="s">
        <v>248</v>
      </c>
    </row>
    <row r="150" spans="4:4" x14ac:dyDescent="0.3">
      <c r="D150" t="s">
        <v>247</v>
      </c>
    </row>
    <row r="151" spans="4:4" x14ac:dyDescent="0.3">
      <c r="D151" t="s">
        <v>246</v>
      </c>
    </row>
    <row r="152" spans="4:4" x14ac:dyDescent="0.3">
      <c r="D152" t="s">
        <v>343</v>
      </c>
    </row>
    <row r="153" spans="4:4" x14ac:dyDescent="0.3">
      <c r="D153" t="s">
        <v>451</v>
      </c>
    </row>
    <row r="154" spans="4:4" x14ac:dyDescent="0.3">
      <c r="D154" t="s">
        <v>344</v>
      </c>
    </row>
    <row r="155" spans="4:4" x14ac:dyDescent="0.3">
      <c r="D155" t="s">
        <v>233</v>
      </c>
    </row>
    <row r="156" spans="4:4" x14ac:dyDescent="0.3">
      <c r="D156" t="s">
        <v>234</v>
      </c>
    </row>
    <row r="157" spans="4:4" x14ac:dyDescent="0.3">
      <c r="D157" t="s">
        <v>235</v>
      </c>
    </row>
    <row r="158" spans="4:4" x14ac:dyDescent="0.3">
      <c r="D158" t="s">
        <v>452</v>
      </c>
    </row>
    <row r="159" spans="4:4" x14ac:dyDescent="0.3">
      <c r="D159" t="s">
        <v>453</v>
      </c>
    </row>
    <row r="160" spans="4:4" x14ac:dyDescent="0.3">
      <c r="D160" t="s">
        <v>454</v>
      </c>
    </row>
    <row r="161" spans="4:4" x14ac:dyDescent="0.3">
      <c r="D161" t="s">
        <v>297</v>
      </c>
    </row>
    <row r="162" spans="4:4" x14ac:dyDescent="0.3">
      <c r="D162" t="s">
        <v>309</v>
      </c>
    </row>
    <row r="163" spans="4:4" x14ac:dyDescent="0.3">
      <c r="D163" t="s">
        <v>310</v>
      </c>
    </row>
    <row r="164" spans="4:4" x14ac:dyDescent="0.3">
      <c r="D164" t="s">
        <v>455</v>
      </c>
    </row>
    <row r="165" spans="4:4" x14ac:dyDescent="0.3">
      <c r="D165" t="s">
        <v>236</v>
      </c>
    </row>
    <row r="166" spans="4:4" x14ac:dyDescent="0.3">
      <c r="D166" t="s">
        <v>456</v>
      </c>
    </row>
    <row r="167" spans="4:4" x14ac:dyDescent="0.3">
      <c r="D167" t="s">
        <v>457</v>
      </c>
    </row>
    <row r="168" spans="4:4" x14ac:dyDescent="0.3">
      <c r="D168" t="s">
        <v>198</v>
      </c>
    </row>
    <row r="169" spans="4:4" x14ac:dyDescent="0.3">
      <c r="D169" t="s">
        <v>458</v>
      </c>
    </row>
    <row r="170" spans="4:4" x14ac:dyDescent="0.3">
      <c r="D170" t="s">
        <v>153</v>
      </c>
    </row>
    <row r="171" spans="4:4" x14ac:dyDescent="0.3">
      <c r="D171" t="s">
        <v>459</v>
      </c>
    </row>
    <row r="172" spans="4:4" x14ac:dyDescent="0.3">
      <c r="D172" t="s">
        <v>460</v>
      </c>
    </row>
    <row r="173" spans="4:4" x14ac:dyDescent="0.3">
      <c r="D173" t="s">
        <v>311</v>
      </c>
    </row>
    <row r="174" spans="4:4" x14ac:dyDescent="0.3">
      <c r="D174" t="s">
        <v>237</v>
      </c>
    </row>
    <row r="175" spans="4:4" x14ac:dyDescent="0.3">
      <c r="D175" t="s">
        <v>312</v>
      </c>
    </row>
    <row r="176" spans="4:4" x14ac:dyDescent="0.3">
      <c r="D176" t="s">
        <v>461</v>
      </c>
    </row>
    <row r="177" spans="4:4" x14ac:dyDescent="0.3">
      <c r="D177" t="s">
        <v>462</v>
      </c>
    </row>
    <row r="178" spans="4:4" x14ac:dyDescent="0.3">
      <c r="D178" t="s">
        <v>345</v>
      </c>
    </row>
    <row r="179" spans="4:4" x14ac:dyDescent="0.3">
      <c r="D179" t="s">
        <v>463</v>
      </c>
    </row>
    <row r="180" spans="4:4" x14ac:dyDescent="0.3">
      <c r="D180" t="s">
        <v>464</v>
      </c>
    </row>
    <row r="181" spans="4:4" x14ac:dyDescent="0.3">
      <c r="D181" t="s">
        <v>465</v>
      </c>
    </row>
    <row r="182" spans="4:4" x14ac:dyDescent="0.3">
      <c r="D182" t="s">
        <v>466</v>
      </c>
    </row>
    <row r="183" spans="4:4" x14ac:dyDescent="0.3">
      <c r="D183" t="s">
        <v>167</v>
      </c>
    </row>
    <row r="184" spans="4:4" x14ac:dyDescent="0.3">
      <c r="D184" t="s">
        <v>467</v>
      </c>
    </row>
    <row r="185" spans="4:4" x14ac:dyDescent="0.3">
      <c r="D185" t="s">
        <v>380</v>
      </c>
    </row>
    <row r="186" spans="4:4" x14ac:dyDescent="0.3">
      <c r="D186" t="s">
        <v>313</v>
      </c>
    </row>
    <row r="187" spans="4:4" x14ac:dyDescent="0.3">
      <c r="D187" t="s">
        <v>238</v>
      </c>
    </row>
    <row r="188" spans="4:4" x14ac:dyDescent="0.3">
      <c r="D188" t="s">
        <v>346</v>
      </c>
    </row>
    <row r="189" spans="4:4" x14ac:dyDescent="0.3">
      <c r="D189" t="s">
        <v>468</v>
      </c>
    </row>
    <row r="190" spans="4:4" x14ac:dyDescent="0.3">
      <c r="D190" t="s">
        <v>469</v>
      </c>
    </row>
    <row r="191" spans="4:4" x14ac:dyDescent="0.3">
      <c r="D191" t="s">
        <v>470</v>
      </c>
    </row>
    <row r="192" spans="4:4" x14ac:dyDescent="0.3">
      <c r="D192" t="s">
        <v>347</v>
      </c>
    </row>
    <row r="193" spans="4:4" x14ac:dyDescent="0.3">
      <c r="D193" t="s">
        <v>471</v>
      </c>
    </row>
    <row r="194" spans="4:4" x14ac:dyDescent="0.3">
      <c r="D194" t="s">
        <v>239</v>
      </c>
    </row>
    <row r="195" spans="4:4" x14ac:dyDescent="0.3">
      <c r="D195" t="s">
        <v>240</v>
      </c>
    </row>
    <row r="196" spans="4:4" x14ac:dyDescent="0.3">
      <c r="D196" t="s">
        <v>472</v>
      </c>
    </row>
    <row r="197" spans="4:4" x14ac:dyDescent="0.3">
      <c r="D197" t="s">
        <v>241</v>
      </c>
    </row>
    <row r="198" spans="4:4" x14ac:dyDescent="0.3">
      <c r="D198" t="s">
        <v>473</v>
      </c>
    </row>
    <row r="199" spans="4:4" x14ac:dyDescent="0.3">
      <c r="D199" t="s">
        <v>474</v>
      </c>
    </row>
    <row r="200" spans="4:4" x14ac:dyDescent="0.3">
      <c r="D200" t="s">
        <v>382</v>
      </c>
    </row>
    <row r="201" spans="4:4" x14ac:dyDescent="0.3">
      <c r="D201" t="s">
        <v>475</v>
      </c>
    </row>
    <row r="202" spans="4:4" x14ac:dyDescent="0.3">
      <c r="D202" t="s">
        <v>242</v>
      </c>
    </row>
    <row r="203" spans="4:4" x14ac:dyDescent="0.3">
      <c r="D203" t="s">
        <v>348</v>
      </c>
    </row>
    <row r="204" spans="4:4" x14ac:dyDescent="0.3">
      <c r="D204" t="s">
        <v>476</v>
      </c>
    </row>
    <row r="205" spans="4:4" x14ac:dyDescent="0.3">
      <c r="D205" t="s">
        <v>201</v>
      </c>
    </row>
    <row r="206" spans="4:4" x14ac:dyDescent="0.3">
      <c r="D206" t="s">
        <v>349</v>
      </c>
    </row>
    <row r="207" spans="4:4" x14ac:dyDescent="0.3">
      <c r="D207" t="s">
        <v>308</v>
      </c>
    </row>
    <row r="208" spans="4:4" x14ac:dyDescent="0.3">
      <c r="D208" t="s">
        <v>477</v>
      </c>
    </row>
    <row r="209" spans="4:4" x14ac:dyDescent="0.3">
      <c r="D209" t="s">
        <v>350</v>
      </c>
    </row>
    <row r="210" spans="4:4" x14ac:dyDescent="0.3">
      <c r="D210" t="s">
        <v>478</v>
      </c>
    </row>
    <row r="211" spans="4:4" x14ac:dyDescent="0.3">
      <c r="D211" t="s">
        <v>318</v>
      </c>
    </row>
    <row r="212" spans="4:4" x14ac:dyDescent="0.3">
      <c r="D212" t="s">
        <v>351</v>
      </c>
    </row>
    <row r="213" spans="4:4" x14ac:dyDescent="0.3">
      <c r="D213" t="s">
        <v>479</v>
      </c>
    </row>
    <row r="214" spans="4:4" x14ac:dyDescent="0.3">
      <c r="D214" t="s">
        <v>480</v>
      </c>
    </row>
    <row r="215" spans="4:4" x14ac:dyDescent="0.3">
      <c r="D215" t="s">
        <v>352</v>
      </c>
    </row>
    <row r="216" spans="4:4" x14ac:dyDescent="0.3">
      <c r="D216" t="s">
        <v>196</v>
      </c>
    </row>
  </sheetData>
  <sortState xmlns:xlrd2="http://schemas.microsoft.com/office/spreadsheetml/2017/richdata2" ref="D2:D116">
    <sortCondition ref="D2:D1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maki</vt:lpstr>
      <vt:lpstr>osm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Lê. Nguyễn Thanh (2)</dc:creator>
  <cp:lastModifiedBy>Lê. Nguyễn Thanh (2)</cp:lastModifiedBy>
  <dcterms:created xsi:type="dcterms:W3CDTF">2025-11-03T02:47:09Z</dcterms:created>
  <dcterms:modified xsi:type="dcterms:W3CDTF">2025-11-19T03:58:59Z</dcterms:modified>
</cp:coreProperties>
</file>